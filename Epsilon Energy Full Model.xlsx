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e\Documents\Finance\Models\"/>
    </mc:Choice>
  </mc:AlternateContent>
  <xr:revisionPtr revIDLastSave="0" documentId="13_ncr:1_{9DAC1FF5-E7EF-4999-8345-259406C0C9BD}" xr6:coauthVersionLast="47" xr6:coauthVersionMax="47" xr10:uidLastSave="{00000000-0000-0000-0000-000000000000}"/>
  <bookViews>
    <workbookView xWindow="28680" yWindow="-120" windowWidth="29040" windowHeight="15720" activeTab="6" xr2:uid="{8230462F-EA59-C34E-983A-05245BD95C5A}"/>
  </bookViews>
  <sheets>
    <sheet name="Cover" sheetId="3" r:id="rId1"/>
    <sheet name="Historical Financials" sheetId="1" r:id="rId2"/>
    <sheet name="Production &amp; Reserves" sheetId="4" r:id="rId3"/>
    <sheet name="Capital Structure" sheetId="2" r:id="rId4"/>
    <sheet name="Debt Schedule" sheetId="5" r:id="rId5"/>
    <sheet name="Forecast Model" sheetId="6" r:id="rId6"/>
    <sheet name="Valuation" sheetId="7" r:id="rId7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7" l="1"/>
  <c r="H62" i="7"/>
  <c r="F62" i="7"/>
  <c r="G58" i="7"/>
  <c r="H58" i="7"/>
  <c r="F58" i="7"/>
  <c r="G56" i="7"/>
  <c r="H56" i="7"/>
  <c r="F56" i="7"/>
  <c r="H51" i="7"/>
  <c r="G51" i="7"/>
  <c r="F51" i="7"/>
  <c r="H50" i="7"/>
  <c r="H55" i="7" s="1"/>
  <c r="H57" i="7" s="1"/>
  <c r="H59" i="7" s="1"/>
  <c r="H63" i="7" s="1"/>
  <c r="G50" i="7"/>
  <c r="G55" i="7" s="1"/>
  <c r="G57" i="7" s="1"/>
  <c r="G59" i="7" s="1"/>
  <c r="G63" i="7" s="1"/>
  <c r="F50" i="7"/>
  <c r="F55" i="7" s="1"/>
  <c r="F57" i="7" s="1"/>
  <c r="F59" i="7" s="1"/>
  <c r="F63" i="7" s="1"/>
  <c r="H49" i="7"/>
  <c r="G49" i="7"/>
  <c r="F49" i="7"/>
  <c r="H48" i="7"/>
  <c r="G48" i="7"/>
  <c r="F48" i="7"/>
  <c r="H45" i="7"/>
  <c r="G45" i="7"/>
  <c r="F45" i="7"/>
  <c r="H44" i="7"/>
  <c r="G44" i="7"/>
  <c r="F44" i="7"/>
  <c r="H43" i="7"/>
  <c r="G43" i="7"/>
  <c r="F43" i="7"/>
  <c r="L121" i="6"/>
  <c r="M121" i="6"/>
  <c r="N121" i="6"/>
  <c r="O121" i="6"/>
  <c r="K121" i="6"/>
  <c r="F39" i="6" a="1"/>
  <c r="F39" i="6" s="1"/>
  <c r="G39" i="6" a="1"/>
  <c r="G39" i="6" s="1"/>
  <c r="H39" i="6" a="1"/>
  <c r="H39" i="6" s="1"/>
  <c r="I39" i="6" a="1"/>
  <c r="I39" i="6" s="1"/>
  <c r="F40" i="6" a="1"/>
  <c r="F40" i="6" s="1"/>
  <c r="G40" i="6" a="1"/>
  <c r="G40" i="6" s="1"/>
  <c r="H40" i="6" a="1"/>
  <c r="H40" i="6" s="1"/>
  <c r="I40" i="6" a="1"/>
  <c r="I40" i="6" s="1"/>
  <c r="F41" i="6" a="1"/>
  <c r="F41" i="6" s="1"/>
  <c r="G41" i="6" a="1"/>
  <c r="G41" i="6" s="1"/>
  <c r="H41" i="6" a="1"/>
  <c r="H41" i="6" s="1"/>
  <c r="I41" i="6" a="1"/>
  <c r="I41" i="6" s="1"/>
  <c r="F42" i="6" a="1"/>
  <c r="F42" i="6" s="1"/>
  <c r="L98" i="6" s="1"/>
  <c r="G42" i="6" a="1"/>
  <c r="G42" i="6" s="1"/>
  <c r="M98" i="6" s="1"/>
  <c r="H42" i="6" a="1"/>
  <c r="H42" i="6" s="1"/>
  <c r="N98" i="6" s="1"/>
  <c r="I42" i="6" a="1"/>
  <c r="I42" i="6" s="1"/>
  <c r="O98" i="6" s="1"/>
  <c r="F43" i="6" a="1"/>
  <c r="F43" i="6" s="1"/>
  <c r="L99" i="6" s="1"/>
  <c r="G43" i="6" a="1"/>
  <c r="G43" i="6" s="1"/>
  <c r="M99" i="6" s="1"/>
  <c r="H43" i="6" a="1"/>
  <c r="H43" i="6" s="1"/>
  <c r="N99" i="6" s="1"/>
  <c r="I43" i="6" a="1"/>
  <c r="I43" i="6" s="1"/>
  <c r="O99" i="6" s="1"/>
  <c r="F44" i="6" a="1"/>
  <c r="F44" i="6" s="1"/>
  <c r="L100" i="6" s="1"/>
  <c r="G44" i="6" a="1"/>
  <c r="G44" i="6" s="1"/>
  <c r="M100" i="6" s="1"/>
  <c r="H44" i="6" a="1"/>
  <c r="H44" i="6" s="1"/>
  <c r="N100" i="6" s="1"/>
  <c r="I44" i="6" a="1"/>
  <c r="I44" i="6" s="1"/>
  <c r="O100" i="6" s="1"/>
  <c r="E44" i="6" a="1"/>
  <c r="E44" i="6" s="1"/>
  <c r="K100" i="6" s="1"/>
  <c r="E43" i="6" a="1"/>
  <c r="E43" i="6" s="1"/>
  <c r="K99" i="6" s="1"/>
  <c r="E42" i="6" a="1"/>
  <c r="E42" i="6" s="1"/>
  <c r="K98" i="6" s="1"/>
  <c r="E40" i="6" a="1"/>
  <c r="E40" i="6" s="1"/>
  <c r="K57" i="6" s="1"/>
  <c r="E39" i="6" a="1"/>
  <c r="E39" i="6" s="1"/>
  <c r="K54" i="6" s="1"/>
  <c r="E41" i="6" a="1"/>
  <c r="E41" i="6" s="1"/>
  <c r="L27" i="7"/>
  <c r="L28" i="7" s="1"/>
  <c r="F24" i="7"/>
  <c r="F23" i="7"/>
  <c r="F21" i="7"/>
  <c r="F22" i="7"/>
  <c r="E40" i="2"/>
  <c r="E36" i="2"/>
  <c r="F11" i="7"/>
  <c r="F177" i="6"/>
  <c r="G177" i="6"/>
  <c r="H177" i="6"/>
  <c r="I177" i="6"/>
  <c r="J177" i="6"/>
  <c r="G181" i="6"/>
  <c r="H181" i="6"/>
  <c r="I181" i="6"/>
  <c r="J181" i="6"/>
  <c r="F181" i="6"/>
  <c r="G180" i="6"/>
  <c r="H180" i="6"/>
  <c r="I180" i="6"/>
  <c r="J180" i="6"/>
  <c r="K180" i="6"/>
  <c r="L180" i="6"/>
  <c r="M180" i="6"/>
  <c r="N180" i="6"/>
  <c r="O180" i="6"/>
  <c r="F180" i="6"/>
  <c r="G178" i="6"/>
  <c r="H178" i="6"/>
  <c r="I178" i="6"/>
  <c r="J178" i="6"/>
  <c r="F178" i="6"/>
  <c r="G175" i="6"/>
  <c r="H175" i="6"/>
  <c r="I175" i="6"/>
  <c r="J175" i="6"/>
  <c r="F175" i="6"/>
  <c r="G174" i="6"/>
  <c r="H174" i="6"/>
  <c r="I174" i="6"/>
  <c r="J174" i="6"/>
  <c r="F174" i="6"/>
  <c r="G172" i="6"/>
  <c r="H172" i="6"/>
  <c r="I172" i="6"/>
  <c r="J172" i="6"/>
  <c r="F172" i="6"/>
  <c r="G169" i="6"/>
  <c r="H169" i="6"/>
  <c r="I169" i="6"/>
  <c r="J169" i="6"/>
  <c r="K169" i="6"/>
  <c r="L169" i="6"/>
  <c r="M169" i="6"/>
  <c r="N169" i="6"/>
  <c r="O169" i="6"/>
  <c r="F169" i="6"/>
  <c r="G168" i="6"/>
  <c r="H168" i="6"/>
  <c r="I168" i="6"/>
  <c r="J168" i="6"/>
  <c r="F168" i="6"/>
  <c r="G166" i="6"/>
  <c r="H166" i="6"/>
  <c r="I166" i="6"/>
  <c r="J166" i="6"/>
  <c r="F166" i="6"/>
  <c r="G164" i="6"/>
  <c r="F159" i="6"/>
  <c r="G159" i="6"/>
  <c r="H159" i="6"/>
  <c r="I159" i="6"/>
  <c r="J159" i="6"/>
  <c r="M158" i="6"/>
  <c r="L158" i="6"/>
  <c r="G158" i="6"/>
  <c r="H158" i="6"/>
  <c r="I158" i="6"/>
  <c r="J158" i="6"/>
  <c r="F158" i="6"/>
  <c r="G156" i="6"/>
  <c r="H156" i="6"/>
  <c r="I156" i="6"/>
  <c r="J156" i="6"/>
  <c r="F156" i="6"/>
  <c r="G155" i="6"/>
  <c r="H155" i="6"/>
  <c r="I155" i="6"/>
  <c r="J155" i="6"/>
  <c r="F155" i="6"/>
  <c r="G152" i="6"/>
  <c r="H152" i="6"/>
  <c r="I152" i="6"/>
  <c r="J152" i="6"/>
  <c r="F152" i="6"/>
  <c r="J33" i="1"/>
  <c r="J32" i="1"/>
  <c r="J34" i="1"/>
  <c r="G148" i="6"/>
  <c r="H148" i="6"/>
  <c r="I148" i="6"/>
  <c r="J148" i="6"/>
  <c r="F148" i="6"/>
  <c r="G142" i="6"/>
  <c r="H142" i="6"/>
  <c r="I142" i="6"/>
  <c r="J142" i="6"/>
  <c r="G136" i="6"/>
  <c r="H136" i="6"/>
  <c r="I136" i="6"/>
  <c r="J136" i="6"/>
  <c r="F136" i="6"/>
  <c r="F142" i="6"/>
  <c r="L137" i="6"/>
  <c r="G129" i="6"/>
  <c r="L86" i="6"/>
  <c r="G85" i="6"/>
  <c r="H85" i="6"/>
  <c r="I85" i="6"/>
  <c r="J85" i="6"/>
  <c r="F85" i="6"/>
  <c r="G120" i="6"/>
  <c r="H120" i="6"/>
  <c r="I120" i="6"/>
  <c r="J120" i="6"/>
  <c r="F120" i="6"/>
  <c r="G117" i="6"/>
  <c r="H117" i="6"/>
  <c r="I117" i="6"/>
  <c r="J117" i="6"/>
  <c r="F117" i="6"/>
  <c r="G114" i="6"/>
  <c r="H114" i="6"/>
  <c r="I114" i="6"/>
  <c r="J114" i="6"/>
  <c r="F114" i="6"/>
  <c r="G111" i="6"/>
  <c r="H111" i="6"/>
  <c r="I111" i="6"/>
  <c r="J111" i="6"/>
  <c r="F111" i="6"/>
  <c r="G107" i="6"/>
  <c r="F62" i="6"/>
  <c r="G62" i="6"/>
  <c r="H62" i="6"/>
  <c r="I62" i="6"/>
  <c r="J62" i="6"/>
  <c r="F99" i="6"/>
  <c r="G99" i="6"/>
  <c r="H99" i="6"/>
  <c r="I99" i="6"/>
  <c r="J99" i="6"/>
  <c r="F100" i="6"/>
  <c r="G100" i="6"/>
  <c r="H100" i="6"/>
  <c r="I100" i="6"/>
  <c r="J100" i="6"/>
  <c r="G98" i="6"/>
  <c r="H98" i="6"/>
  <c r="I98" i="6"/>
  <c r="J98" i="6"/>
  <c r="F98" i="6"/>
  <c r="G79" i="6"/>
  <c r="H79" i="6"/>
  <c r="I79" i="6"/>
  <c r="J79" i="6"/>
  <c r="F79" i="6"/>
  <c r="G76" i="6"/>
  <c r="H76" i="6"/>
  <c r="I76" i="6"/>
  <c r="J76" i="6"/>
  <c r="F76" i="6"/>
  <c r="G73" i="6"/>
  <c r="H73" i="6"/>
  <c r="I73" i="6"/>
  <c r="J73" i="6"/>
  <c r="F73" i="6"/>
  <c r="G69" i="6"/>
  <c r="F19" i="6"/>
  <c r="F14" i="6"/>
  <c r="F9" i="6"/>
  <c r="F5" i="6"/>
  <c r="G63" i="6"/>
  <c r="H63" i="6"/>
  <c r="I63" i="6"/>
  <c r="J63" i="6"/>
  <c r="F63" i="6"/>
  <c r="G59" i="6"/>
  <c r="H59" i="6"/>
  <c r="I59" i="6"/>
  <c r="J59" i="6"/>
  <c r="F59" i="6"/>
  <c r="G56" i="6"/>
  <c r="H56" i="6"/>
  <c r="I56" i="6"/>
  <c r="J56" i="6"/>
  <c r="F56" i="6"/>
  <c r="G53" i="6"/>
  <c r="H53" i="6"/>
  <c r="I53" i="6"/>
  <c r="J53" i="6"/>
  <c r="F53" i="6"/>
  <c r="G49" i="6"/>
  <c r="C11" i="3"/>
  <c r="J30" i="5"/>
  <c r="I30" i="5"/>
  <c r="H30" i="5"/>
  <c r="J24" i="5"/>
  <c r="I24" i="5"/>
  <c r="H24" i="5"/>
  <c r="J22" i="5"/>
  <c r="I22" i="5"/>
  <c r="H22" i="5"/>
  <c r="J17" i="5"/>
  <c r="I17" i="5"/>
  <c r="H17" i="5"/>
  <c r="G30" i="5"/>
  <c r="F30" i="5"/>
  <c r="G24" i="5"/>
  <c r="F24" i="5"/>
  <c r="G22" i="5"/>
  <c r="F22" i="5"/>
  <c r="G17" i="5"/>
  <c r="F17" i="5"/>
  <c r="J26" i="2"/>
  <c r="E29" i="2"/>
  <c r="E16" i="2"/>
  <c r="F15" i="7" s="1"/>
  <c r="J7" i="2"/>
  <c r="J123" i="4"/>
  <c r="J124" i="4" s="1"/>
  <c r="J138" i="4" s="1"/>
  <c r="I123" i="4"/>
  <c r="I124" i="4" s="1"/>
  <c r="I138" i="4" s="1"/>
  <c r="H123" i="4"/>
  <c r="H124" i="4" s="1"/>
  <c r="H138" i="4" s="1"/>
  <c r="G123" i="4"/>
  <c r="G124" i="4" s="1"/>
  <c r="G138" i="4" s="1"/>
  <c r="F123" i="4"/>
  <c r="F124" i="4" s="1"/>
  <c r="F138" i="4" s="1"/>
  <c r="J119" i="4"/>
  <c r="J120" i="4" s="1"/>
  <c r="J137" i="4" s="1"/>
  <c r="I119" i="4"/>
  <c r="I120" i="4" s="1"/>
  <c r="I137" i="4" s="1"/>
  <c r="H119" i="4"/>
  <c r="H120" i="4" s="1"/>
  <c r="H137" i="4" s="1"/>
  <c r="G119" i="4"/>
  <c r="G120" i="4" s="1"/>
  <c r="G137" i="4" s="1"/>
  <c r="F119" i="4"/>
  <c r="F120" i="4" s="1"/>
  <c r="F137" i="4" s="1"/>
  <c r="J115" i="4"/>
  <c r="J116" i="4" s="1"/>
  <c r="J136" i="4" s="1"/>
  <c r="I115" i="4"/>
  <c r="I116" i="4" s="1"/>
  <c r="I136" i="4" s="1"/>
  <c r="H115" i="4"/>
  <c r="H116" i="4" s="1"/>
  <c r="H136" i="4" s="1"/>
  <c r="G115" i="4"/>
  <c r="G116" i="4" s="1"/>
  <c r="G136" i="4" s="1"/>
  <c r="F115" i="4"/>
  <c r="F116" i="4" s="1"/>
  <c r="F136" i="4" s="1"/>
  <c r="J109" i="4"/>
  <c r="J110" i="4" s="1"/>
  <c r="J132" i="4" s="1"/>
  <c r="I109" i="4"/>
  <c r="I110" i="4" s="1"/>
  <c r="I132" i="4" s="1"/>
  <c r="H109" i="4"/>
  <c r="H110" i="4" s="1"/>
  <c r="H132" i="4" s="1"/>
  <c r="G109" i="4"/>
  <c r="G110" i="4" s="1"/>
  <c r="G132" i="4" s="1"/>
  <c r="F109" i="4"/>
  <c r="F110" i="4" s="1"/>
  <c r="F132" i="4" s="1"/>
  <c r="J105" i="4"/>
  <c r="J106" i="4" s="1"/>
  <c r="J131" i="4" s="1"/>
  <c r="I105" i="4"/>
  <c r="I106" i="4" s="1"/>
  <c r="I131" i="4" s="1"/>
  <c r="H105" i="4"/>
  <c r="H106" i="4" s="1"/>
  <c r="H131" i="4" s="1"/>
  <c r="G105" i="4"/>
  <c r="G106" i="4" s="1"/>
  <c r="G131" i="4" s="1"/>
  <c r="F105" i="4"/>
  <c r="F106" i="4" s="1"/>
  <c r="F131" i="4" s="1"/>
  <c r="G101" i="4"/>
  <c r="G102" i="4" s="1"/>
  <c r="H101" i="4"/>
  <c r="H102" i="4" s="1"/>
  <c r="H130" i="4" s="1"/>
  <c r="I101" i="4"/>
  <c r="I102" i="4" s="1"/>
  <c r="I130" i="4" s="1"/>
  <c r="J101" i="4"/>
  <c r="J102" i="4" s="1"/>
  <c r="J130" i="4" s="1"/>
  <c r="F101" i="4"/>
  <c r="F102" i="4" s="1"/>
  <c r="F130" i="4" s="1"/>
  <c r="G80" i="4"/>
  <c r="G81" i="4" s="1"/>
  <c r="G87" i="4" s="1"/>
  <c r="H80" i="4"/>
  <c r="H81" i="4" s="1"/>
  <c r="H87" i="4" s="1"/>
  <c r="I80" i="4"/>
  <c r="I81" i="4" s="1"/>
  <c r="I87" i="4" s="1"/>
  <c r="J80" i="4"/>
  <c r="J81" i="4" s="1"/>
  <c r="J87" i="4" s="1"/>
  <c r="F80" i="4"/>
  <c r="F81" i="4" s="1"/>
  <c r="F87" i="4" s="1"/>
  <c r="G76" i="4"/>
  <c r="G77" i="4" s="1"/>
  <c r="G86" i="4" s="1"/>
  <c r="H76" i="4"/>
  <c r="H77" i="4" s="1"/>
  <c r="H86" i="4" s="1"/>
  <c r="I76" i="4"/>
  <c r="I77" i="4" s="1"/>
  <c r="I86" i="4" s="1"/>
  <c r="J76" i="4"/>
  <c r="J77" i="4" s="1"/>
  <c r="J86" i="4" s="1"/>
  <c r="F76" i="4"/>
  <c r="F77" i="4" s="1"/>
  <c r="F86" i="4" s="1"/>
  <c r="G72" i="4"/>
  <c r="G73" i="4" s="1"/>
  <c r="G85" i="4" s="1"/>
  <c r="H72" i="4"/>
  <c r="H73" i="4" s="1"/>
  <c r="H85" i="4" s="1"/>
  <c r="I72" i="4"/>
  <c r="I73" i="4" s="1"/>
  <c r="I85" i="4" s="1"/>
  <c r="J72" i="4"/>
  <c r="J73" i="4" s="1"/>
  <c r="J85" i="4" s="1"/>
  <c r="F72" i="4"/>
  <c r="F73" i="4" s="1"/>
  <c r="F85" i="4" s="1"/>
  <c r="G95" i="1"/>
  <c r="H95" i="1"/>
  <c r="I95" i="1"/>
  <c r="J95" i="1"/>
  <c r="F95" i="1"/>
  <c r="G24" i="4"/>
  <c r="G25" i="4" s="1"/>
  <c r="G52" i="4" s="1"/>
  <c r="H24" i="4"/>
  <c r="H25" i="4" s="1"/>
  <c r="H52" i="4" s="1"/>
  <c r="I24" i="4"/>
  <c r="I25" i="4" s="1"/>
  <c r="I31" i="4" s="1"/>
  <c r="J24" i="4"/>
  <c r="J25" i="4" s="1"/>
  <c r="J52" i="4" s="1"/>
  <c r="F24" i="4"/>
  <c r="F25" i="4" s="1"/>
  <c r="G20" i="4"/>
  <c r="G21" i="4" s="1"/>
  <c r="G30" i="4" s="1"/>
  <c r="H20" i="4"/>
  <c r="H21" i="4" s="1"/>
  <c r="H30" i="4" s="1"/>
  <c r="I20" i="4"/>
  <c r="I21" i="4" s="1"/>
  <c r="J20" i="4"/>
  <c r="J21" i="4" s="1"/>
  <c r="J30" i="4" s="1"/>
  <c r="F20" i="4"/>
  <c r="F21" i="4" s="1"/>
  <c r="F51" i="4" s="1"/>
  <c r="G16" i="4"/>
  <c r="G17" i="4" s="1"/>
  <c r="H16" i="4"/>
  <c r="H17" i="4" s="1"/>
  <c r="H29" i="4" s="1"/>
  <c r="I16" i="4"/>
  <c r="I17" i="4" s="1"/>
  <c r="I29" i="4" s="1"/>
  <c r="J16" i="4"/>
  <c r="J17" i="4" s="1"/>
  <c r="J29" i="4" s="1"/>
  <c r="F16" i="4"/>
  <c r="F17" i="4" s="1"/>
  <c r="F29" i="4" s="1"/>
  <c r="G285" i="1"/>
  <c r="H285" i="1" s="1"/>
  <c r="I285" i="1" s="1"/>
  <c r="J285" i="1" s="1"/>
  <c r="G266" i="1"/>
  <c r="H266" i="1" s="1"/>
  <c r="I266" i="1" s="1"/>
  <c r="J266" i="1" s="1"/>
  <c r="G250" i="1"/>
  <c r="H250" i="1"/>
  <c r="I250" i="1"/>
  <c r="J250" i="1"/>
  <c r="G251" i="1"/>
  <c r="H251" i="1"/>
  <c r="I251" i="1"/>
  <c r="J251" i="1"/>
  <c r="G253" i="1"/>
  <c r="H253" i="1"/>
  <c r="I253" i="1"/>
  <c r="J253" i="1"/>
  <c r="G255" i="1"/>
  <c r="H255" i="1"/>
  <c r="I255" i="1"/>
  <c r="J255" i="1"/>
  <c r="F255" i="1"/>
  <c r="F253" i="1"/>
  <c r="F251" i="1"/>
  <c r="F250" i="1"/>
  <c r="G248" i="1"/>
  <c r="G234" i="1"/>
  <c r="F240" i="1"/>
  <c r="F241" i="1" s="1"/>
  <c r="G240" i="1"/>
  <c r="H240" i="1"/>
  <c r="I240" i="1"/>
  <c r="J240" i="1"/>
  <c r="G225" i="1"/>
  <c r="G277" i="1" s="1"/>
  <c r="H225" i="1"/>
  <c r="H277" i="1" s="1"/>
  <c r="I225" i="1"/>
  <c r="I277" i="1" s="1"/>
  <c r="J225" i="1"/>
  <c r="J277" i="1" s="1"/>
  <c r="F225" i="1"/>
  <c r="F277" i="1" s="1"/>
  <c r="G212" i="1"/>
  <c r="H212" i="1"/>
  <c r="I212" i="1"/>
  <c r="J212" i="1"/>
  <c r="F212" i="1"/>
  <c r="G204" i="1"/>
  <c r="H204" i="1"/>
  <c r="I204" i="1"/>
  <c r="J204" i="1"/>
  <c r="F204" i="1"/>
  <c r="G174" i="1"/>
  <c r="H174" i="1"/>
  <c r="I174" i="1"/>
  <c r="J174" i="1"/>
  <c r="G169" i="1"/>
  <c r="H169" i="1"/>
  <c r="I169" i="1"/>
  <c r="J169" i="1"/>
  <c r="G164" i="1"/>
  <c r="H164" i="1"/>
  <c r="I164" i="1"/>
  <c r="J164" i="1"/>
  <c r="F174" i="1"/>
  <c r="F169" i="1"/>
  <c r="F164" i="1"/>
  <c r="G137" i="1"/>
  <c r="G149" i="1"/>
  <c r="H149" i="1"/>
  <c r="H156" i="1" s="1"/>
  <c r="I149" i="1"/>
  <c r="I156" i="1" s="1"/>
  <c r="J149" i="1"/>
  <c r="F149" i="1"/>
  <c r="F156" i="1" s="1"/>
  <c r="G145" i="1"/>
  <c r="G124" i="1"/>
  <c r="H124" i="1"/>
  <c r="I124" i="1"/>
  <c r="J124" i="1"/>
  <c r="F124" i="1"/>
  <c r="G91" i="1"/>
  <c r="H91" i="1"/>
  <c r="I91" i="1"/>
  <c r="J91" i="1"/>
  <c r="F91" i="1"/>
  <c r="G86" i="1"/>
  <c r="H86" i="1"/>
  <c r="I86" i="1"/>
  <c r="J86" i="1"/>
  <c r="F86" i="1"/>
  <c r="H64" i="7" l="1"/>
  <c r="G64" i="7"/>
  <c r="F64" i="7"/>
  <c r="K60" i="6"/>
  <c r="K59" i="6" s="1"/>
  <c r="K79" i="6" s="1"/>
  <c r="F9" i="7"/>
  <c r="F13" i="7" s="1"/>
  <c r="L7" i="7" s="1"/>
  <c r="L30" i="7" s="1"/>
  <c r="L31" i="7" s="1"/>
  <c r="J28" i="2"/>
  <c r="H164" i="6"/>
  <c r="I164" i="6" s="1"/>
  <c r="J164" i="6" s="1"/>
  <c r="K164" i="6" s="1"/>
  <c r="L164" i="6" s="1"/>
  <c r="M164" i="6" s="1"/>
  <c r="N164" i="6" s="1"/>
  <c r="O164" i="6" s="1"/>
  <c r="N158" i="6"/>
  <c r="O158" i="6" s="1"/>
  <c r="K148" i="6"/>
  <c r="L148" i="6" s="1"/>
  <c r="I143" i="6"/>
  <c r="G143" i="6"/>
  <c r="H143" i="6"/>
  <c r="J143" i="6"/>
  <c r="M137" i="6"/>
  <c r="K136" i="6"/>
  <c r="L136" i="6" s="1"/>
  <c r="H137" i="6"/>
  <c r="I137" i="6"/>
  <c r="J137" i="6"/>
  <c r="G137" i="6"/>
  <c r="M136" i="6"/>
  <c r="N137" i="6"/>
  <c r="O137" i="6" s="1"/>
  <c r="H129" i="6"/>
  <c r="I129" i="6" s="1"/>
  <c r="J129" i="6" s="1"/>
  <c r="K129" i="6" s="1"/>
  <c r="L129" i="6" s="1"/>
  <c r="M129" i="6" s="1"/>
  <c r="N129" i="6" s="1"/>
  <c r="O129" i="6" s="1"/>
  <c r="M86" i="6"/>
  <c r="K85" i="6"/>
  <c r="J86" i="6"/>
  <c r="I86" i="6"/>
  <c r="G86" i="6"/>
  <c r="H86" i="6"/>
  <c r="N86" i="6"/>
  <c r="O86" i="6" s="1"/>
  <c r="L85" i="6"/>
  <c r="G123" i="6"/>
  <c r="G124" i="6" s="1"/>
  <c r="H123" i="6"/>
  <c r="H124" i="6" s="1"/>
  <c r="I123" i="6"/>
  <c r="I124" i="6" s="1"/>
  <c r="F123" i="6"/>
  <c r="F124" i="6" s="1"/>
  <c r="G121" i="6"/>
  <c r="J121" i="6"/>
  <c r="G118" i="6"/>
  <c r="I118" i="6"/>
  <c r="F118" i="6"/>
  <c r="G115" i="6"/>
  <c r="I115" i="6"/>
  <c r="G112" i="6"/>
  <c r="I112" i="6"/>
  <c r="F112" i="6"/>
  <c r="J123" i="6"/>
  <c r="J124" i="6" s="1"/>
  <c r="H121" i="6"/>
  <c r="I121" i="6"/>
  <c r="F121" i="6"/>
  <c r="H118" i="6"/>
  <c r="J118" i="6"/>
  <c r="H115" i="6"/>
  <c r="J115" i="6"/>
  <c r="F115" i="6"/>
  <c r="H112" i="6"/>
  <c r="J112" i="6"/>
  <c r="K112" i="6" s="1"/>
  <c r="H82" i="6"/>
  <c r="I82" i="6"/>
  <c r="G82" i="6"/>
  <c r="J82" i="6"/>
  <c r="F82" i="6"/>
  <c r="F102" i="6" s="1"/>
  <c r="J80" i="6"/>
  <c r="I80" i="6"/>
  <c r="H80" i="6"/>
  <c r="G80" i="6"/>
  <c r="J77" i="6"/>
  <c r="I77" i="6"/>
  <c r="H77" i="6"/>
  <c r="G77" i="6"/>
  <c r="H74" i="6"/>
  <c r="I74" i="6"/>
  <c r="J74" i="6"/>
  <c r="G74" i="6"/>
  <c r="L60" i="6"/>
  <c r="L57" i="6"/>
  <c r="L54" i="6"/>
  <c r="G102" i="6"/>
  <c r="I102" i="6"/>
  <c r="H107" i="6"/>
  <c r="I107" i="6" s="1"/>
  <c r="H69" i="6"/>
  <c r="I69" i="6" s="1"/>
  <c r="J69" i="6" s="1"/>
  <c r="K69" i="6" s="1"/>
  <c r="L69" i="6" s="1"/>
  <c r="M69" i="6" s="1"/>
  <c r="N69" i="6" s="1"/>
  <c r="O69" i="6" s="1"/>
  <c r="G9" i="6"/>
  <c r="G19" i="6"/>
  <c r="H19" i="6" s="1"/>
  <c r="I19" i="6" s="1"/>
  <c r="G14" i="6"/>
  <c r="H14" i="6" s="1"/>
  <c r="I14" i="6" s="1"/>
  <c r="G5" i="6"/>
  <c r="H64" i="6"/>
  <c r="G64" i="6"/>
  <c r="K53" i="6"/>
  <c r="I60" i="6"/>
  <c r="G60" i="6"/>
  <c r="I57" i="6"/>
  <c r="H54" i="6"/>
  <c r="I54" i="6"/>
  <c r="H49" i="6"/>
  <c r="J64" i="6"/>
  <c r="I64" i="6"/>
  <c r="K56" i="6"/>
  <c r="K76" i="6" s="1"/>
  <c r="H60" i="6"/>
  <c r="J60" i="6"/>
  <c r="H57" i="6"/>
  <c r="J57" i="6"/>
  <c r="G57" i="6"/>
  <c r="J54" i="6"/>
  <c r="G54" i="6"/>
  <c r="C12" i="3"/>
  <c r="C13" i="3" s="1"/>
  <c r="C14" i="3" s="1"/>
  <c r="J31" i="5"/>
  <c r="H31" i="5"/>
  <c r="I21" i="5"/>
  <c r="I31" i="5"/>
  <c r="J21" i="5"/>
  <c r="H21" i="5"/>
  <c r="G31" i="5"/>
  <c r="F31" i="5"/>
  <c r="G21" i="5"/>
  <c r="F21" i="5"/>
  <c r="F23" i="5" s="1"/>
  <c r="F29" i="5" s="1"/>
  <c r="F133" i="4"/>
  <c r="F50" i="4"/>
  <c r="H133" i="4"/>
  <c r="H145" i="4" s="1"/>
  <c r="J139" i="4"/>
  <c r="I133" i="4"/>
  <c r="F139" i="4"/>
  <c r="J133" i="4"/>
  <c r="G139" i="4"/>
  <c r="I139" i="4"/>
  <c r="H139" i="4"/>
  <c r="G130" i="4"/>
  <c r="G133" i="4" s="1"/>
  <c r="H44" i="4"/>
  <c r="F88" i="4"/>
  <c r="F92" i="4" s="1"/>
  <c r="H88" i="4"/>
  <c r="J88" i="4"/>
  <c r="I88" i="4"/>
  <c r="I92" i="4" s="1"/>
  <c r="G88" i="4"/>
  <c r="H31" i="4"/>
  <c r="G31" i="4"/>
  <c r="G50" i="4"/>
  <c r="G29" i="4"/>
  <c r="I51" i="4"/>
  <c r="I30" i="4"/>
  <c r="F31" i="4"/>
  <c r="F52" i="4"/>
  <c r="J51" i="4"/>
  <c r="J31" i="4"/>
  <c r="H50" i="4"/>
  <c r="F30" i="4"/>
  <c r="I52" i="4"/>
  <c r="H51" i="4"/>
  <c r="G51" i="4"/>
  <c r="J43" i="4"/>
  <c r="I43" i="4"/>
  <c r="J50" i="4"/>
  <c r="I50" i="4"/>
  <c r="I276" i="1"/>
  <c r="H276" i="1"/>
  <c r="G276" i="1"/>
  <c r="J276" i="1"/>
  <c r="F256" i="1"/>
  <c r="J252" i="1"/>
  <c r="J261" i="1" s="1"/>
  <c r="F276" i="1"/>
  <c r="G252" i="1"/>
  <c r="G258" i="1" s="1"/>
  <c r="I256" i="1"/>
  <c r="I252" i="1"/>
  <c r="I258" i="1" s="1"/>
  <c r="J256" i="1"/>
  <c r="H256" i="1"/>
  <c r="G256" i="1"/>
  <c r="F252" i="1"/>
  <c r="H252" i="1"/>
  <c r="H248" i="1"/>
  <c r="I248" i="1" s="1"/>
  <c r="J248" i="1" s="1"/>
  <c r="G241" i="1"/>
  <c r="H241" i="1"/>
  <c r="I241" i="1"/>
  <c r="J241" i="1"/>
  <c r="H234" i="1"/>
  <c r="I234" i="1" s="1"/>
  <c r="J234" i="1" s="1"/>
  <c r="J214" i="1"/>
  <c r="F214" i="1"/>
  <c r="G214" i="1"/>
  <c r="H214" i="1"/>
  <c r="I214" i="1"/>
  <c r="G176" i="1"/>
  <c r="I176" i="1"/>
  <c r="H176" i="1"/>
  <c r="J176" i="1"/>
  <c r="F176" i="1"/>
  <c r="G156" i="1"/>
  <c r="H137" i="1"/>
  <c r="I137" i="1" s="1"/>
  <c r="J137" i="1" s="1"/>
  <c r="J156" i="1"/>
  <c r="I93" i="1"/>
  <c r="I105" i="1" s="1"/>
  <c r="J93" i="1"/>
  <c r="J105" i="1" s="1"/>
  <c r="H145" i="1"/>
  <c r="I145" i="1" s="1"/>
  <c r="J145" i="1" s="1"/>
  <c r="H93" i="1"/>
  <c r="H105" i="1" s="1"/>
  <c r="G93" i="1"/>
  <c r="G105" i="1" s="1"/>
  <c r="F93" i="1"/>
  <c r="F105" i="1" s="1"/>
  <c r="L13" i="7" l="1"/>
  <c r="L11" i="7"/>
  <c r="M148" i="6"/>
  <c r="N148" i="6" s="1"/>
  <c r="O148" i="6" s="1"/>
  <c r="H83" i="6"/>
  <c r="N136" i="6"/>
  <c r="O136" i="6" s="1"/>
  <c r="H9" i="6"/>
  <c r="I83" i="6"/>
  <c r="K80" i="6"/>
  <c r="H88" i="6"/>
  <c r="H132" i="6" s="1"/>
  <c r="H139" i="6" s="1"/>
  <c r="I88" i="6"/>
  <c r="I132" i="6" s="1"/>
  <c r="I139" i="6" s="1"/>
  <c r="J88" i="6"/>
  <c r="J132" i="6" s="1"/>
  <c r="J139" i="6" s="1"/>
  <c r="G88" i="6"/>
  <c r="G132" i="6" s="1"/>
  <c r="G139" i="6" s="1"/>
  <c r="F88" i="6"/>
  <c r="F132" i="6" s="1"/>
  <c r="M85" i="6"/>
  <c r="H102" i="6"/>
  <c r="L112" i="6"/>
  <c r="K118" i="6"/>
  <c r="K115" i="6"/>
  <c r="J107" i="6"/>
  <c r="K107" i="6" s="1"/>
  <c r="L107" i="6" s="1"/>
  <c r="M107" i="6" s="1"/>
  <c r="N107" i="6" s="1"/>
  <c r="O107" i="6" s="1"/>
  <c r="I49" i="6"/>
  <c r="J49" i="6" s="1"/>
  <c r="K49" i="6" s="1"/>
  <c r="J83" i="6"/>
  <c r="J102" i="6"/>
  <c r="G83" i="6"/>
  <c r="M60" i="6"/>
  <c r="M57" i="6"/>
  <c r="M54" i="6"/>
  <c r="L53" i="6"/>
  <c r="K62" i="6"/>
  <c r="C194" i="6" s="1"/>
  <c r="K73" i="6"/>
  <c r="K77" i="6"/>
  <c r="I9" i="6"/>
  <c r="H5" i="6"/>
  <c r="L59" i="6"/>
  <c r="L56" i="6"/>
  <c r="I23" i="5"/>
  <c r="I29" i="5" s="1"/>
  <c r="I28" i="5"/>
  <c r="J28" i="5"/>
  <c r="J23" i="5"/>
  <c r="J29" i="5" s="1"/>
  <c r="H23" i="5"/>
  <c r="H29" i="5" s="1"/>
  <c r="H28" i="5"/>
  <c r="G23" i="5"/>
  <c r="G29" i="5" s="1"/>
  <c r="G28" i="5"/>
  <c r="G93" i="4"/>
  <c r="G94" i="4"/>
  <c r="G92" i="4"/>
  <c r="I93" i="4"/>
  <c r="I94" i="4"/>
  <c r="J93" i="4"/>
  <c r="J94" i="4"/>
  <c r="H93" i="4"/>
  <c r="H94" i="4"/>
  <c r="H92" i="4"/>
  <c r="F94" i="4"/>
  <c r="F93" i="4"/>
  <c r="J92" i="4"/>
  <c r="I145" i="4"/>
  <c r="H32" i="4"/>
  <c r="H33" i="4" s="1"/>
  <c r="G44" i="4"/>
  <c r="G145" i="4"/>
  <c r="I146" i="4"/>
  <c r="J45" i="4"/>
  <c r="I44" i="4"/>
  <c r="H43" i="4"/>
  <c r="G146" i="4"/>
  <c r="F145" i="4"/>
  <c r="J147" i="4"/>
  <c r="J148" i="4"/>
  <c r="F147" i="4"/>
  <c r="J145" i="4"/>
  <c r="G147" i="4"/>
  <c r="G148" i="4"/>
  <c r="H147" i="4"/>
  <c r="H148" i="4"/>
  <c r="H146" i="4"/>
  <c r="F146" i="4"/>
  <c r="I147" i="4"/>
  <c r="I148" i="4"/>
  <c r="J146" i="4"/>
  <c r="F89" i="4"/>
  <c r="G89" i="4"/>
  <c r="I89" i="4"/>
  <c r="J89" i="4"/>
  <c r="H89" i="4"/>
  <c r="J44" i="4"/>
  <c r="G43" i="4"/>
  <c r="G32" i="4"/>
  <c r="G45" i="4"/>
  <c r="H45" i="4"/>
  <c r="F32" i="4"/>
  <c r="F37" i="4" s="1"/>
  <c r="I32" i="4"/>
  <c r="I38" i="4" s="1"/>
  <c r="I45" i="4"/>
  <c r="J32" i="4"/>
  <c r="I261" i="1"/>
  <c r="J258" i="1"/>
  <c r="G261" i="1"/>
  <c r="F258" i="1"/>
  <c r="F261" i="1"/>
  <c r="H258" i="1"/>
  <c r="H261" i="1"/>
  <c r="J227" i="1"/>
  <c r="I227" i="1"/>
  <c r="H227" i="1"/>
  <c r="G227" i="1"/>
  <c r="F227" i="1"/>
  <c r="G55" i="1"/>
  <c r="G30" i="1"/>
  <c r="F30" i="1"/>
  <c r="G28" i="1"/>
  <c r="H28" i="1"/>
  <c r="I28" i="1"/>
  <c r="J28" i="1"/>
  <c r="F28" i="1"/>
  <c r="G42" i="1"/>
  <c r="H42" i="1"/>
  <c r="I42" i="1"/>
  <c r="J42" i="1"/>
  <c r="F42" i="1"/>
  <c r="H30" i="1"/>
  <c r="I30" i="1"/>
  <c r="J30" i="1"/>
  <c r="G14" i="1"/>
  <c r="H14" i="1"/>
  <c r="I14" i="1"/>
  <c r="J14" i="1"/>
  <c r="F14" i="1"/>
  <c r="F268" i="1" s="1"/>
  <c r="L24" i="7" l="1"/>
  <c r="L25" i="7" s="1"/>
  <c r="K174" i="6"/>
  <c r="K82" i="6"/>
  <c r="K88" i="6" s="1"/>
  <c r="H140" i="6"/>
  <c r="H145" i="6"/>
  <c r="I140" i="6"/>
  <c r="I145" i="6"/>
  <c r="J140" i="6"/>
  <c r="J145" i="6"/>
  <c r="G140" i="6"/>
  <c r="G145" i="6"/>
  <c r="F133" i="6"/>
  <c r="F139" i="6"/>
  <c r="H133" i="6"/>
  <c r="H134" i="6"/>
  <c r="I133" i="6"/>
  <c r="I134" i="6"/>
  <c r="J133" i="6"/>
  <c r="J134" i="6"/>
  <c r="G133" i="6"/>
  <c r="G134" i="6"/>
  <c r="F134" i="6"/>
  <c r="N85" i="6"/>
  <c r="H93" i="6"/>
  <c r="H94" i="6"/>
  <c r="H95" i="6"/>
  <c r="H92" i="6"/>
  <c r="I89" i="6"/>
  <c r="I95" i="6"/>
  <c r="I94" i="6"/>
  <c r="I92" i="6"/>
  <c r="I93" i="6"/>
  <c r="J89" i="6"/>
  <c r="J93" i="6"/>
  <c r="J94" i="6"/>
  <c r="J92" i="6"/>
  <c r="J95" i="6"/>
  <c r="G92" i="6"/>
  <c r="G94" i="6"/>
  <c r="G95" i="6"/>
  <c r="G93" i="6"/>
  <c r="F95" i="6"/>
  <c r="F93" i="6"/>
  <c r="F92" i="6"/>
  <c r="F94" i="6"/>
  <c r="K74" i="6"/>
  <c r="M53" i="6"/>
  <c r="L49" i="6"/>
  <c r="M49" i="6" s="1"/>
  <c r="H89" i="6"/>
  <c r="G89" i="6"/>
  <c r="M112" i="6"/>
  <c r="K117" i="6"/>
  <c r="L118" i="6"/>
  <c r="L115" i="6"/>
  <c r="K114" i="6"/>
  <c r="K111" i="6"/>
  <c r="N60" i="6"/>
  <c r="O60" i="6"/>
  <c r="N57" i="6"/>
  <c r="O57" i="6"/>
  <c r="N54" i="6"/>
  <c r="O54" i="6"/>
  <c r="L73" i="6"/>
  <c r="L62" i="6"/>
  <c r="L174" i="6" s="1"/>
  <c r="K63" i="6"/>
  <c r="K64" i="6"/>
  <c r="M59" i="6"/>
  <c r="M79" i="6" s="1"/>
  <c r="L79" i="6"/>
  <c r="M56" i="6"/>
  <c r="L76" i="6"/>
  <c r="I5" i="6"/>
  <c r="H53" i="4"/>
  <c r="H57" i="4" s="1"/>
  <c r="I60" i="4"/>
  <c r="I37" i="4"/>
  <c r="I39" i="4"/>
  <c r="H38" i="4"/>
  <c r="H37" i="4"/>
  <c r="J33" i="4"/>
  <c r="J38" i="4"/>
  <c r="J37" i="4"/>
  <c r="H144" i="4"/>
  <c r="H60" i="4"/>
  <c r="H59" i="4"/>
  <c r="H46" i="4"/>
  <c r="G38" i="4"/>
  <c r="F38" i="4"/>
  <c r="J39" i="4"/>
  <c r="F39" i="4"/>
  <c r="G39" i="4"/>
  <c r="H58" i="4"/>
  <c r="H34" i="4"/>
  <c r="G37" i="4"/>
  <c r="H39" i="4"/>
  <c r="G144" i="4"/>
  <c r="F34" i="4"/>
  <c r="F53" i="4"/>
  <c r="F57" i="4" s="1"/>
  <c r="I144" i="4"/>
  <c r="F144" i="4"/>
  <c r="J144" i="4"/>
  <c r="G60" i="4"/>
  <c r="G34" i="4"/>
  <c r="G59" i="4"/>
  <c r="G53" i="4"/>
  <c r="G57" i="4" s="1"/>
  <c r="G58" i="4"/>
  <c r="I46" i="4"/>
  <c r="I34" i="4"/>
  <c r="I58" i="4"/>
  <c r="F60" i="4"/>
  <c r="F59" i="4"/>
  <c r="F58" i="4"/>
  <c r="I59" i="4"/>
  <c r="F33" i="4"/>
  <c r="G33" i="4"/>
  <c r="I53" i="4"/>
  <c r="I57" i="4" s="1"/>
  <c r="I33" i="4"/>
  <c r="G46" i="4"/>
  <c r="J59" i="4"/>
  <c r="J46" i="4"/>
  <c r="J53" i="4"/>
  <c r="J57" i="4" s="1"/>
  <c r="J34" i="4"/>
  <c r="J58" i="4"/>
  <c r="J60" i="4"/>
  <c r="J268" i="1"/>
  <c r="J287" i="1"/>
  <c r="I268" i="1"/>
  <c r="I287" i="1"/>
  <c r="H268" i="1"/>
  <c r="H287" i="1"/>
  <c r="G287" i="1"/>
  <c r="G268" i="1"/>
  <c r="H55" i="1"/>
  <c r="I55" i="1" s="1"/>
  <c r="J55" i="1" s="1"/>
  <c r="G32" i="1"/>
  <c r="H32" i="1"/>
  <c r="I32" i="1"/>
  <c r="F32" i="1"/>
  <c r="C8" i="3"/>
  <c r="E17" i="2"/>
  <c r="K89" i="6" l="1"/>
  <c r="F194" i="6"/>
  <c r="K92" i="6"/>
  <c r="K94" i="6"/>
  <c r="K83" i="6"/>
  <c r="K95" i="6"/>
  <c r="K93" i="6"/>
  <c r="K102" i="6"/>
  <c r="K132" i="6"/>
  <c r="H146" i="6"/>
  <c r="H150" i="6"/>
  <c r="H153" i="6" s="1"/>
  <c r="I146" i="6"/>
  <c r="I150" i="6"/>
  <c r="I153" i="6" s="1"/>
  <c r="J146" i="6"/>
  <c r="J150" i="6"/>
  <c r="J153" i="6" s="1"/>
  <c r="G146" i="6"/>
  <c r="G150" i="6"/>
  <c r="G153" i="6" s="1"/>
  <c r="F140" i="6"/>
  <c r="F145" i="6"/>
  <c r="O85" i="6"/>
  <c r="M73" i="6"/>
  <c r="M74" i="6" s="1"/>
  <c r="N49" i="6"/>
  <c r="O49" i="6" s="1"/>
  <c r="L74" i="6"/>
  <c r="L80" i="6"/>
  <c r="N53" i="6"/>
  <c r="N112" i="6"/>
  <c r="M118" i="6"/>
  <c r="L117" i="6"/>
  <c r="L114" i="6"/>
  <c r="M115" i="6"/>
  <c r="L111" i="6"/>
  <c r="N59" i="6"/>
  <c r="L63" i="6"/>
  <c r="L64" i="6"/>
  <c r="M62" i="6"/>
  <c r="M174" i="6" s="1"/>
  <c r="M80" i="6"/>
  <c r="M76" i="6"/>
  <c r="N56" i="6"/>
  <c r="L77" i="6"/>
  <c r="L82" i="6"/>
  <c r="L88" i="6" s="1"/>
  <c r="C9" i="3"/>
  <c r="C10" i="3" s="1"/>
  <c r="J8" i="2"/>
  <c r="E34" i="2" s="1"/>
  <c r="J34" i="2" s="1"/>
  <c r="G33" i="1"/>
  <c r="G289" i="1" s="1"/>
  <c r="G292" i="1"/>
  <c r="I33" i="1"/>
  <c r="I289" i="1" s="1"/>
  <c r="I292" i="1"/>
  <c r="H33" i="1"/>
  <c r="H289" i="1" s="1"/>
  <c r="H292" i="1"/>
  <c r="J292" i="1"/>
  <c r="F33" i="1"/>
  <c r="F289" i="1" s="1"/>
  <c r="F292" i="1"/>
  <c r="J43" i="1"/>
  <c r="J46" i="1" s="1"/>
  <c r="H43" i="1"/>
  <c r="H46" i="1" s="1"/>
  <c r="I43" i="1"/>
  <c r="I46" i="1" s="1"/>
  <c r="G43" i="1"/>
  <c r="G46" i="1" s="1"/>
  <c r="G293" i="1" s="1"/>
  <c r="F43" i="1"/>
  <c r="K134" i="6" l="1"/>
  <c r="C188" i="6"/>
  <c r="K139" i="6"/>
  <c r="F188" i="6" s="1"/>
  <c r="F27" i="7"/>
  <c r="F31" i="7" s="1"/>
  <c r="K133" i="6"/>
  <c r="F146" i="6"/>
  <c r="F150" i="6"/>
  <c r="F153" i="6" s="1"/>
  <c r="L132" i="6"/>
  <c r="L139" i="6" s="1"/>
  <c r="L140" i="6" s="1"/>
  <c r="L92" i="6"/>
  <c r="L94" i="6"/>
  <c r="L89" i="6"/>
  <c r="L95" i="6"/>
  <c r="L93" i="6"/>
  <c r="O53" i="6"/>
  <c r="O73" i="6" s="1"/>
  <c r="N73" i="6"/>
  <c r="O112" i="6"/>
  <c r="N118" i="6"/>
  <c r="M117" i="6"/>
  <c r="M114" i="6"/>
  <c r="N115" i="6"/>
  <c r="O59" i="6"/>
  <c r="O79" i="6" s="1"/>
  <c r="N79" i="6"/>
  <c r="M111" i="6"/>
  <c r="M64" i="6"/>
  <c r="M63" i="6"/>
  <c r="N62" i="6"/>
  <c r="N174" i="6" s="1"/>
  <c r="N76" i="6"/>
  <c r="O56" i="6"/>
  <c r="O76" i="6" s="1"/>
  <c r="M77" i="6"/>
  <c r="M82" i="6"/>
  <c r="M88" i="6" s="1"/>
  <c r="L83" i="6"/>
  <c r="L102" i="6"/>
  <c r="I269" i="1"/>
  <c r="I259" i="1"/>
  <c r="I34" i="1"/>
  <c r="I260" i="1" s="1"/>
  <c r="I35" i="1"/>
  <c r="G35" i="1"/>
  <c r="G271" i="1" s="1"/>
  <c r="H259" i="1"/>
  <c r="G34" i="1"/>
  <c r="I295" i="1"/>
  <c r="I293" i="1"/>
  <c r="H293" i="1"/>
  <c r="H295" i="1"/>
  <c r="J293" i="1"/>
  <c r="J295" i="1"/>
  <c r="J269" i="1"/>
  <c r="J289" i="1"/>
  <c r="J35" i="1"/>
  <c r="J259" i="1"/>
  <c r="I271" i="1"/>
  <c r="I291" i="1"/>
  <c r="G269" i="1"/>
  <c r="H35" i="1"/>
  <c r="G259" i="1"/>
  <c r="H34" i="1"/>
  <c r="H269" i="1"/>
  <c r="F46" i="1"/>
  <c r="F293" i="1" s="1"/>
  <c r="F259" i="1"/>
  <c r="F35" i="1"/>
  <c r="G295" i="1"/>
  <c r="F269" i="1"/>
  <c r="F34" i="1"/>
  <c r="H279" i="1"/>
  <c r="H280" i="1"/>
  <c r="J279" i="1"/>
  <c r="J280" i="1"/>
  <c r="G280" i="1"/>
  <c r="G279" i="1"/>
  <c r="I280" i="1"/>
  <c r="I279" i="1"/>
  <c r="J50" i="1"/>
  <c r="J57" i="1"/>
  <c r="J77" i="1" s="1"/>
  <c r="H57" i="1"/>
  <c r="H77" i="1" s="1"/>
  <c r="H50" i="1"/>
  <c r="I57" i="1"/>
  <c r="I77" i="1" s="1"/>
  <c r="I50" i="1"/>
  <c r="G57" i="1"/>
  <c r="G77" i="1" s="1"/>
  <c r="G50" i="1"/>
  <c r="K140" i="6" l="1"/>
  <c r="F26" i="7"/>
  <c r="F30" i="7" s="1"/>
  <c r="M132" i="6"/>
  <c r="M139" i="6" s="1"/>
  <c r="M140" i="6" s="1"/>
  <c r="L134" i="6"/>
  <c r="L133" i="6"/>
  <c r="N74" i="6"/>
  <c r="N80" i="6"/>
  <c r="O74" i="6"/>
  <c r="M89" i="6"/>
  <c r="M95" i="6"/>
  <c r="M94" i="6"/>
  <c r="M92" i="6"/>
  <c r="M93" i="6"/>
  <c r="N117" i="6"/>
  <c r="O118" i="6"/>
  <c r="N114" i="6"/>
  <c r="O115" i="6"/>
  <c r="N77" i="6"/>
  <c r="N82" i="6"/>
  <c r="N88" i="6" s="1"/>
  <c r="N111" i="6"/>
  <c r="O80" i="6"/>
  <c r="N64" i="6"/>
  <c r="N63" i="6"/>
  <c r="O77" i="6"/>
  <c r="O82" i="6"/>
  <c r="O88" i="6" s="1"/>
  <c r="O62" i="6"/>
  <c r="M83" i="6"/>
  <c r="M102" i="6"/>
  <c r="G274" i="1"/>
  <c r="G62" i="4"/>
  <c r="F290" i="1"/>
  <c r="F61" i="4"/>
  <c r="G290" i="1"/>
  <c r="G61" i="4"/>
  <c r="H290" i="1"/>
  <c r="H61" i="4"/>
  <c r="I274" i="1"/>
  <c r="I62" i="4"/>
  <c r="H274" i="1"/>
  <c r="H62" i="4"/>
  <c r="J274" i="1"/>
  <c r="J62" i="4"/>
  <c r="J290" i="1"/>
  <c r="J61" i="4"/>
  <c r="I290" i="1"/>
  <c r="I61" i="4"/>
  <c r="I270" i="1"/>
  <c r="F270" i="1"/>
  <c r="G291" i="1"/>
  <c r="J270" i="1"/>
  <c r="J260" i="1"/>
  <c r="H271" i="1"/>
  <c r="H291" i="1"/>
  <c r="G270" i="1"/>
  <c r="G260" i="1"/>
  <c r="H270" i="1"/>
  <c r="H260" i="1"/>
  <c r="J271" i="1"/>
  <c r="J291" i="1"/>
  <c r="F57" i="1"/>
  <c r="F77" i="1" s="1"/>
  <c r="F273" i="1" s="1"/>
  <c r="F50" i="1"/>
  <c r="F279" i="1"/>
  <c r="F280" i="1"/>
  <c r="F260" i="1"/>
  <c r="F271" i="1"/>
  <c r="F291" i="1"/>
  <c r="I131" i="1"/>
  <c r="I273" i="1"/>
  <c r="H131" i="1"/>
  <c r="H273" i="1"/>
  <c r="J131" i="1"/>
  <c r="J273" i="1"/>
  <c r="G131" i="1"/>
  <c r="G273" i="1"/>
  <c r="M134" i="6" l="1"/>
  <c r="M133" i="6"/>
  <c r="O111" i="6"/>
  <c r="O174" i="6"/>
  <c r="N132" i="6"/>
  <c r="N139" i="6" s="1"/>
  <c r="N140" i="6" s="1"/>
  <c r="O89" i="6"/>
  <c r="N92" i="6"/>
  <c r="N94" i="6"/>
  <c r="O92" i="6"/>
  <c r="N89" i="6"/>
  <c r="N95" i="6"/>
  <c r="N93" i="6"/>
  <c r="O95" i="6"/>
  <c r="O94" i="6"/>
  <c r="O93" i="6"/>
  <c r="N102" i="6"/>
  <c r="N83" i="6"/>
  <c r="O114" i="6"/>
  <c r="O117" i="6"/>
  <c r="O83" i="6"/>
  <c r="O102" i="6"/>
  <c r="O64" i="6"/>
  <c r="O63" i="6"/>
  <c r="F274" i="1"/>
  <c r="F62" i="4"/>
  <c r="F131" i="1"/>
  <c r="F132" i="1" s="1"/>
  <c r="F141" i="1" s="1"/>
  <c r="F140" i="1" s="1"/>
  <c r="F182" i="1" s="1"/>
  <c r="N134" i="6" l="1"/>
  <c r="N133" i="6"/>
  <c r="O132" i="6"/>
  <c r="O139" i="6" s="1"/>
  <c r="O140" i="6" s="1"/>
  <c r="G130" i="1"/>
  <c r="G132" i="1" s="1"/>
  <c r="G141" i="1" s="1"/>
  <c r="G140" i="1" s="1"/>
  <c r="G182" i="1" s="1"/>
  <c r="G188" i="1" s="1"/>
  <c r="G190" i="1" s="1"/>
  <c r="G192" i="1" s="1"/>
  <c r="F254" i="1"/>
  <c r="F257" i="1" s="1"/>
  <c r="F188" i="1"/>
  <c r="F190" i="1" s="1"/>
  <c r="F192" i="1" s="1"/>
  <c r="F229" i="1" s="1"/>
  <c r="O134" i="6" l="1"/>
  <c r="O133" i="6"/>
  <c r="H130" i="1"/>
  <c r="H132" i="1" s="1"/>
  <c r="G254" i="1"/>
  <c r="G257" i="1" s="1"/>
  <c r="G229" i="1"/>
  <c r="G296" i="1"/>
  <c r="H141" i="1" l="1"/>
  <c r="H140" i="1" s="1"/>
  <c r="I130" i="1"/>
  <c r="I132" i="1" s="1"/>
  <c r="H182" i="1" l="1"/>
  <c r="H188" i="1" s="1"/>
  <c r="H190" i="1" s="1"/>
  <c r="H192" i="1" s="1"/>
  <c r="H254" i="1"/>
  <c r="H257" i="1" s="1"/>
  <c r="I141" i="1"/>
  <c r="I140" i="1" s="1"/>
  <c r="J130" i="1"/>
  <c r="J132" i="1" s="1"/>
  <c r="J141" i="1" s="1"/>
  <c r="J140" i="1" s="1"/>
  <c r="J182" i="1" s="1"/>
  <c r="J254" i="1" l="1"/>
  <c r="J257" i="1" s="1"/>
  <c r="I182" i="1"/>
  <c r="I188" i="1" s="1"/>
  <c r="I190" i="1" s="1"/>
  <c r="I192" i="1" s="1"/>
  <c r="I254" i="1"/>
  <c r="I257" i="1" s="1"/>
  <c r="H229" i="1"/>
  <c r="H296" i="1"/>
  <c r="J188" i="1"/>
  <c r="J190" i="1" s="1"/>
  <c r="J192" i="1" s="1"/>
  <c r="I229" i="1" l="1"/>
  <c r="I296" i="1"/>
  <c r="J229" i="1"/>
  <c r="J296" i="1"/>
  <c r="K120" i="6" l="1"/>
  <c r="K123" i="6" s="1"/>
  <c r="K124" i="6" s="1"/>
  <c r="K142" i="6"/>
  <c r="K143" i="6" s="1"/>
  <c r="K168" i="6" l="1"/>
  <c r="K145" i="6"/>
  <c r="K146" i="6" l="1"/>
  <c r="K150" i="6"/>
  <c r="F28" i="7" l="1"/>
  <c r="F32" i="7" s="1"/>
  <c r="I188" i="6"/>
  <c r="K152" i="6"/>
  <c r="K155" i="6" s="1"/>
  <c r="K159" i="6" l="1"/>
  <c r="F34" i="7" s="1"/>
  <c r="F35" i="7" s="1"/>
  <c r="K166" i="6"/>
  <c r="K172" i="6" s="1"/>
  <c r="K177" i="6" s="1"/>
  <c r="L188" i="6" s="1"/>
  <c r="K156" i="6"/>
  <c r="L21" i="7" l="1"/>
  <c r="L22" i="7" s="1"/>
  <c r="K178" i="6"/>
  <c r="K181" i="6"/>
  <c r="L120" i="6"/>
  <c r="L123" i="6" s="1"/>
  <c r="L124" i="6" s="1"/>
  <c r="M120" i="6"/>
  <c r="M123" i="6" s="1"/>
  <c r="M124" i="6" s="1"/>
  <c r="N120" i="6"/>
  <c r="N123" i="6" s="1"/>
  <c r="N124" i="6" s="1"/>
  <c r="O120" i="6"/>
  <c r="O123" i="6" s="1"/>
  <c r="O124" i="6" s="1"/>
  <c r="L142" i="6"/>
  <c r="L143" i="6" s="1"/>
  <c r="M142" i="6"/>
  <c r="M145" i="6" s="1"/>
  <c r="N142" i="6"/>
  <c r="N145" i="6" s="1"/>
  <c r="O142" i="6"/>
  <c r="O145" i="6" s="1"/>
  <c r="N168" i="6" l="1"/>
  <c r="O143" i="6"/>
  <c r="L168" i="6"/>
  <c r="L145" i="6"/>
  <c r="L146" i="6" s="1"/>
  <c r="M143" i="6"/>
  <c r="M168" i="6"/>
  <c r="N143" i="6"/>
  <c r="O168" i="6"/>
  <c r="O146" i="6"/>
  <c r="O150" i="6"/>
  <c r="N146" i="6"/>
  <c r="N150" i="6"/>
  <c r="M150" i="6"/>
  <c r="M146" i="6"/>
  <c r="L150" i="6" l="1"/>
  <c r="L152" i="6" s="1"/>
  <c r="L155" i="6" s="1"/>
  <c r="M152" i="6"/>
  <c r="M155" i="6" s="1"/>
  <c r="N152" i="6"/>
  <c r="N155" i="6" s="1"/>
  <c r="O152" i="6"/>
  <c r="O155" i="6" s="1"/>
  <c r="L166" i="6" l="1"/>
  <c r="L172" i="6" s="1"/>
  <c r="L177" i="6" s="1"/>
  <c r="L156" i="6"/>
  <c r="L159" i="6"/>
  <c r="O166" i="6"/>
  <c r="O172" i="6" s="1"/>
  <c r="O177" i="6" s="1"/>
  <c r="O159" i="6"/>
  <c r="O156" i="6"/>
  <c r="N166" i="6"/>
  <c r="N172" i="6" s="1"/>
  <c r="N177" i="6" s="1"/>
  <c r="N156" i="6"/>
  <c r="N159" i="6"/>
  <c r="M159" i="6"/>
  <c r="M166" i="6"/>
  <c r="M172" i="6" s="1"/>
  <c r="M177" i="6" s="1"/>
  <c r="M156" i="6"/>
  <c r="N181" i="6" l="1"/>
  <c r="N178" i="6"/>
  <c r="M181" i="6"/>
  <c r="M178" i="6"/>
  <c r="O181" i="6"/>
  <c r="O178" i="6"/>
  <c r="L178" i="6"/>
  <c r="L18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<sst xmlns="http://schemas.openxmlformats.org/spreadsheetml/2006/main" count="689" uniqueCount="494">
  <si>
    <t>Share Price</t>
  </si>
  <si>
    <t>Market Capitalization</t>
  </si>
  <si>
    <t>Capital Structure</t>
  </si>
  <si>
    <t>Basic Shares Outstanding</t>
  </si>
  <si>
    <t>RSUs / Restricted Shares</t>
  </si>
  <si>
    <t>Options Outstanding</t>
  </si>
  <si>
    <t>Warrants</t>
  </si>
  <si>
    <t>Convertible Securities</t>
  </si>
  <si>
    <t>Fully Diluted Shares</t>
  </si>
  <si>
    <t>Oil and Gas Exploration &amp; Production Company Analysis and Valuation</t>
  </si>
  <si>
    <t>Dashboard</t>
  </si>
  <si>
    <t>Historical Financials</t>
  </si>
  <si>
    <t>Production &amp; Reserves</t>
  </si>
  <si>
    <t>NAV &amp; Valuation</t>
  </si>
  <si>
    <t>Notes</t>
  </si>
  <si>
    <t>Table of Contents</t>
  </si>
  <si>
    <t>Total Revenue</t>
  </si>
  <si>
    <t>Natural Gas</t>
  </si>
  <si>
    <t>Natural Gas Liquids</t>
  </si>
  <si>
    <t>Oil and Condensates</t>
  </si>
  <si>
    <t>Gathering and Compression</t>
  </si>
  <si>
    <t>Lease Operating Expenses</t>
  </si>
  <si>
    <t>Gathering System Operating Expenses</t>
  </si>
  <si>
    <t>Impairment Expense</t>
  </si>
  <si>
    <t>Transaction Costs</t>
  </si>
  <si>
    <t>Stock Based Compensation Expense</t>
  </si>
  <si>
    <t>Other General and Administration Expenses</t>
  </si>
  <si>
    <t>DD&amp;A</t>
  </si>
  <si>
    <t>Total Operating Expenses</t>
  </si>
  <si>
    <t>Loss (Gain) on the Sale of Oil Properties</t>
  </si>
  <si>
    <t>Development of Geological and Geophysical Expenses</t>
  </si>
  <si>
    <t>EBITDA</t>
  </si>
  <si>
    <t>EBITDAX</t>
  </si>
  <si>
    <t>Adjusted EBITDA</t>
  </si>
  <si>
    <t>Operating Expenses:</t>
  </si>
  <si>
    <t>General and Administration:</t>
  </si>
  <si>
    <t>Revenue:</t>
  </si>
  <si>
    <t>Other Income (Expense):</t>
  </si>
  <si>
    <t>Interest Income</t>
  </si>
  <si>
    <t>Interest Expense</t>
  </si>
  <si>
    <t>Gain (Loss) On Derative Contracts, Net</t>
  </si>
  <si>
    <t>Other Income, Net</t>
  </si>
  <si>
    <t>Income Tax (Benefit) Expense</t>
  </si>
  <si>
    <t>Net Income</t>
  </si>
  <si>
    <t>Financials</t>
  </si>
  <si>
    <t>Income Statement</t>
  </si>
  <si>
    <t>Cash Flow Statement</t>
  </si>
  <si>
    <t>Currency Transaction Adjustments</t>
  </si>
  <si>
    <t>Unrealized Loss on Securities</t>
  </si>
  <si>
    <t xml:space="preserve">Net Comprehensive Income </t>
  </si>
  <si>
    <t>Total G&amp;A</t>
  </si>
  <si>
    <t>Net Income (Loss) Before Income Tax (EBT)</t>
  </si>
  <si>
    <t>Impairment Expenses</t>
  </si>
  <si>
    <t>Non-Cash Operating Activities:</t>
  </si>
  <si>
    <t>Loss (Gain) on Asset Sales</t>
  </si>
  <si>
    <t>Derivative MTM Gain (Loss)</t>
  </si>
  <si>
    <t>Derivative Cash Settlements</t>
  </si>
  <si>
    <t>Stock Compensation</t>
  </si>
  <si>
    <t>Deferred Taxes</t>
  </si>
  <si>
    <t>Other Non-Cash Adjustments</t>
  </si>
  <si>
    <t>Acquisition / Business Combination Adjustments</t>
  </si>
  <si>
    <t>Changes In Working Capital:</t>
  </si>
  <si>
    <t>Accounts Receivable</t>
  </si>
  <si>
    <t>Prepaid Taxes / Current Assets</t>
  </si>
  <si>
    <t>Other Assets and Liabilities</t>
  </si>
  <si>
    <t>Accounts Payable &amp; Accrued Liabilities</t>
  </si>
  <si>
    <t>Income Taxes Payable</t>
  </si>
  <si>
    <t>Net Cash from Operating Activities</t>
  </si>
  <si>
    <t>Cash Flow from Investing Activities:</t>
  </si>
  <si>
    <t>Unproved Property CapEx</t>
  </si>
  <si>
    <t>Proved Property CapEx</t>
  </si>
  <si>
    <t>Prepaid Drilling Costs</t>
  </si>
  <si>
    <t>Gathering System CapEx</t>
  </si>
  <si>
    <t>Corporate / Other CapEx</t>
  </si>
  <si>
    <t>Acquisitions</t>
  </si>
  <si>
    <t>Asset Sale Proceeds</t>
  </si>
  <si>
    <t>Investment Purchases</t>
  </si>
  <si>
    <t>Investment Sales / Maturities</t>
  </si>
  <si>
    <t>Net Cash from Investing Activities</t>
  </si>
  <si>
    <t>Oil and Gas Capital Spending:</t>
  </si>
  <si>
    <t>Infastructure / Other:</t>
  </si>
  <si>
    <t>Investments:</t>
  </si>
  <si>
    <t>Acquisitions / Divestitures:</t>
  </si>
  <si>
    <t>Total O&amp;G CapEx</t>
  </si>
  <si>
    <t>Infastructure CapEx</t>
  </si>
  <si>
    <t>Total Capex</t>
  </si>
  <si>
    <t>Cash Flow from Financing Activities:</t>
  </si>
  <si>
    <t>Dividends Paid</t>
  </si>
  <si>
    <t>Credit Facility Borrowings</t>
  </si>
  <si>
    <t>Debt Repayments</t>
  </si>
  <si>
    <t>Debt Issuance</t>
  </si>
  <si>
    <t>Debt Activities:</t>
  </si>
  <si>
    <t>Equity Activities:</t>
  </si>
  <si>
    <t>Equity Issuance / Option Exercises</t>
  </si>
  <si>
    <t>Share Repurchases</t>
  </si>
  <si>
    <t>Financing Fees / Deferred Financing Costs</t>
  </si>
  <si>
    <t>Shareholder Returns:</t>
  </si>
  <si>
    <t>Other Financing:</t>
  </si>
  <si>
    <t>Net Cash From Financing Activities</t>
  </si>
  <si>
    <t>Effects of Currency Rates on Cash</t>
  </si>
  <si>
    <t>Cash Balance:</t>
  </si>
  <si>
    <t>Beginning Cash Balance</t>
  </si>
  <si>
    <t>Increase (Decrease) in Cash Balance</t>
  </si>
  <si>
    <t>Ending Cash Balance</t>
  </si>
  <si>
    <t>Balance Sheet</t>
  </si>
  <si>
    <t>Assets:</t>
  </si>
  <si>
    <t>Cash &amp; Cash Equivalents</t>
  </si>
  <si>
    <t>Restricted Cash</t>
  </si>
  <si>
    <t>Total Cash, Cash Equivalents, &amp; Restricted Cash</t>
  </si>
  <si>
    <t>Current Assets:</t>
  </si>
  <si>
    <t>Derivative Assets</t>
  </si>
  <si>
    <t>Prepaid Taxes</t>
  </si>
  <si>
    <t>Other Current Assets</t>
  </si>
  <si>
    <t>Total Current Assets</t>
  </si>
  <si>
    <t>Short-Term Investments</t>
  </si>
  <si>
    <t>Operating Lease ROU Assets</t>
  </si>
  <si>
    <t>Short Term Investments</t>
  </si>
  <si>
    <t>Land</t>
  </si>
  <si>
    <t>Non-Current Assets:</t>
  </si>
  <si>
    <t>Oil and Gas Properties:</t>
  </si>
  <si>
    <t>Proved Properties</t>
  </si>
  <si>
    <t>Unproved Properties</t>
  </si>
  <si>
    <t>Accumulated Depreciation (Oil &amp; Gas)</t>
  </si>
  <si>
    <t>Net Oil and Gas Properties</t>
  </si>
  <si>
    <t>Gathering System Gross</t>
  </si>
  <si>
    <t>Accumulated Depreciation (Gathering System)</t>
  </si>
  <si>
    <t>Net Gathering System Property</t>
  </si>
  <si>
    <t>Gathering System Properties:</t>
  </si>
  <si>
    <t>Buildings and Equipment</t>
  </si>
  <si>
    <t>Other PP&amp;E:</t>
  </si>
  <si>
    <t>Total Other PP&amp;E</t>
  </si>
  <si>
    <t>Total Property and Equipment</t>
  </si>
  <si>
    <t>Cash, Cash Equivalents, &amp; Restricted Cash Schedule</t>
  </si>
  <si>
    <t>Long-Term Derivative Assets</t>
  </si>
  <si>
    <t>Deferred Financing Costs</t>
  </si>
  <si>
    <t>Other Long-Term Assets</t>
  </si>
  <si>
    <t>Total Other Assets</t>
  </si>
  <si>
    <t>Total Non-Current Assets</t>
  </si>
  <si>
    <t>Other Assets:</t>
  </si>
  <si>
    <t>Total Assets</t>
  </si>
  <si>
    <t>Liabilities:</t>
  </si>
  <si>
    <t>Current Liabilities:</t>
  </si>
  <si>
    <t>Accounts Payable &amp; Royalties</t>
  </si>
  <si>
    <t>Accrued Liabilities</t>
  </si>
  <si>
    <t>Derivative Liabilities</t>
  </si>
  <si>
    <t>Current Lease Liabilities</t>
  </si>
  <si>
    <t>Current Debt</t>
  </si>
  <si>
    <t>Total Current Liabilities</t>
  </si>
  <si>
    <t>Current Asset Retirement Obligationss</t>
  </si>
  <si>
    <t>Income Tax Payable</t>
  </si>
  <si>
    <t>Non-Current Liabilities:</t>
  </si>
  <si>
    <t>Long Term Debt</t>
  </si>
  <si>
    <t>Long-Term Debt</t>
  </si>
  <si>
    <t>Deferred Income Taxes</t>
  </si>
  <si>
    <t>Lease Liabilities</t>
  </si>
  <si>
    <t>Asset Retirement Obligations</t>
  </si>
  <si>
    <t>Other Long Term Liabilities</t>
  </si>
  <si>
    <t>Total Non-Current Liabilities</t>
  </si>
  <si>
    <t>Total Liabilities</t>
  </si>
  <si>
    <t>Common Stock</t>
  </si>
  <si>
    <t>Treasury Stock</t>
  </si>
  <si>
    <t>Total Shareholders' Equity</t>
  </si>
  <si>
    <t>Additional Paid-In-Capital</t>
  </si>
  <si>
    <t>Accumulated Other Comprehensive Income</t>
  </si>
  <si>
    <t>Retained Earnings (Accumulated Deficit)</t>
  </si>
  <si>
    <t>Shareholders' Equity:</t>
  </si>
  <si>
    <t>Total Liabilities and Shareholder's Equity</t>
  </si>
  <si>
    <t>Balance Sheet Check (A - L - SE)</t>
  </si>
  <si>
    <t>Shares Outstanding Schedule</t>
  </si>
  <si>
    <t>Treasury Shares (BS)</t>
  </si>
  <si>
    <t>Preferred Shares Outstanding (BS)</t>
  </si>
  <si>
    <t>Shares Issued (BS)</t>
  </si>
  <si>
    <t>Common Shares Outstanding (BS)</t>
  </si>
  <si>
    <t>Total Shares Oustanding (Common + Preferred)</t>
  </si>
  <si>
    <t>Year-Over-Year Share Growth (%)</t>
  </si>
  <si>
    <t>Diluted Weighted Avg Shares (IS)</t>
  </si>
  <si>
    <t>Basic Weighted Avg Shares (IS)</t>
  </si>
  <si>
    <t>Debt &amp; Liquidity Schedule</t>
  </si>
  <si>
    <t>Gross Debt</t>
  </si>
  <si>
    <t>Total Liquidity</t>
  </si>
  <si>
    <t>Net Debt</t>
  </si>
  <si>
    <t>Net Debt / EBITDA</t>
  </si>
  <si>
    <t>Net Debt / EBITDAX</t>
  </si>
  <si>
    <t>Available Liquidity</t>
  </si>
  <si>
    <t>Debt / Shareholders' Equity (Debt / Equity)</t>
  </si>
  <si>
    <t xml:space="preserve"> </t>
  </si>
  <si>
    <t>Forcast Model</t>
  </si>
  <si>
    <t>Historical Per Share Metrics</t>
  </si>
  <si>
    <t>Revenue / Share</t>
  </si>
  <si>
    <t>EBITDA / Share</t>
  </si>
  <si>
    <t>EBITDAX / Share</t>
  </si>
  <si>
    <t>Adjusted EBITDA / Share</t>
  </si>
  <si>
    <t>Book Value / Share</t>
  </si>
  <si>
    <t>Tangible Book Value / Share</t>
  </si>
  <si>
    <t>Basic EPS</t>
  </si>
  <si>
    <t>Diluted EPS</t>
  </si>
  <si>
    <t>Goodwill</t>
  </si>
  <si>
    <t>Intangible Assets</t>
  </si>
  <si>
    <t>Preferred Equity</t>
  </si>
  <si>
    <t>Cash From Operations / Share</t>
  </si>
  <si>
    <t>Free Cash Flow / Share</t>
  </si>
  <si>
    <t>Historical Profitability Metrics</t>
  </si>
  <si>
    <t>Revenue Growth %</t>
  </si>
  <si>
    <t>EBITDA Margin %</t>
  </si>
  <si>
    <t>EBITDAX Margin %</t>
  </si>
  <si>
    <t>Adjusted EBITDA Margin %</t>
  </si>
  <si>
    <t>Operating Margin %</t>
  </si>
  <si>
    <t>Net Margin %</t>
  </si>
  <si>
    <t>ROE %</t>
  </si>
  <si>
    <t>ROA %</t>
  </si>
  <si>
    <t>Total Other Income (Expense)</t>
  </si>
  <si>
    <t>Production</t>
  </si>
  <si>
    <t>Unit Glossary:</t>
  </si>
  <si>
    <t>Natural Gas:</t>
  </si>
  <si>
    <t>Mcf</t>
  </si>
  <si>
    <t>MMcf</t>
  </si>
  <si>
    <t>Bcf</t>
  </si>
  <si>
    <t>Billion Cubic Feet</t>
  </si>
  <si>
    <t>Million Cubic Feet</t>
  </si>
  <si>
    <t>Thousand Cubic Feet</t>
  </si>
  <si>
    <t>Natural Gas production (Mcf)</t>
  </si>
  <si>
    <t>Multiplier to Mcf</t>
  </si>
  <si>
    <t>Oil Multiplier to Bbl</t>
  </si>
  <si>
    <t>Oil Production (Bbl)</t>
  </si>
  <si>
    <t>Oil Production (Filing)</t>
  </si>
  <si>
    <t>Natural Gas Production (Filing)</t>
  </si>
  <si>
    <t>Units:</t>
  </si>
  <si>
    <t>Bbl</t>
  </si>
  <si>
    <t>NGL Production (Filing)</t>
  </si>
  <si>
    <t>MBbl</t>
  </si>
  <si>
    <t>Mboe</t>
  </si>
  <si>
    <t>Oil:</t>
  </si>
  <si>
    <t>Barrel of Oil</t>
  </si>
  <si>
    <t>Thousand Barrels (1,000)</t>
  </si>
  <si>
    <t>MMBbl</t>
  </si>
  <si>
    <t>Million Barrels (1,000,000)</t>
  </si>
  <si>
    <t>NGL</t>
  </si>
  <si>
    <t>Boe</t>
  </si>
  <si>
    <t>Barrels of Oil Equivalent</t>
  </si>
  <si>
    <t>NGL Multiplier to Boe</t>
  </si>
  <si>
    <t>NGL Production (Boe)</t>
  </si>
  <si>
    <t>Oil Production (Boe)</t>
  </si>
  <si>
    <t>Total Production (Boe)</t>
  </si>
  <si>
    <t>Total Production (Mboe)</t>
  </si>
  <si>
    <t>Boe / day</t>
  </si>
  <si>
    <t>*2021 filing has MBbl not Mboe</t>
  </si>
  <si>
    <t>Boe/d</t>
  </si>
  <si>
    <t>Production Growth:</t>
  </si>
  <si>
    <t>Oil Growth %</t>
  </si>
  <si>
    <t>NGL Growth %</t>
  </si>
  <si>
    <t>-</t>
  </si>
  <si>
    <t>Standardized Production:</t>
  </si>
  <si>
    <t>Realized Prices:</t>
  </si>
  <si>
    <t>Oil Realized Price ($/Bbl)</t>
  </si>
  <si>
    <t>NGL Realized Price ($/BOE)</t>
  </si>
  <si>
    <t>Total Revenue / BOE</t>
  </si>
  <si>
    <t>Hydrocarbons Only</t>
  </si>
  <si>
    <t>Unit Economics:</t>
  </si>
  <si>
    <t>Are the wells cheap to operate?</t>
  </si>
  <si>
    <t>Is management running a lean company?</t>
  </si>
  <si>
    <t>Total Revenue / Total Boe</t>
  </si>
  <si>
    <t>G&amp;A Expense / Total Boe</t>
  </si>
  <si>
    <t>Lease Operating Expense / Total Boe</t>
  </si>
  <si>
    <t>DD&amp;A / Total Boe</t>
  </si>
  <si>
    <t>How much cash operating profit does each barrel generate?</t>
  </si>
  <si>
    <t>How much capital is being depleted for each barrel produced?</t>
  </si>
  <si>
    <t>FCF / Total Boe</t>
  </si>
  <si>
    <t>EBITDAX / Total Boe</t>
  </si>
  <si>
    <t>How much free cash flow does each barrel generate?</t>
  </si>
  <si>
    <t>Reserves</t>
  </si>
  <si>
    <t>Free Cash Flow</t>
  </si>
  <si>
    <t>Total Reserves:</t>
  </si>
  <si>
    <t>Natural Gas Reserves (Filing)</t>
  </si>
  <si>
    <t>Oil Reserves (Filing)</t>
  </si>
  <si>
    <t>NGL Reserves (Filing)</t>
  </si>
  <si>
    <t>Natural Gas Reserves (Mcf)</t>
  </si>
  <si>
    <t>Oil Reserves (Bbl)</t>
  </si>
  <si>
    <t>NGL Reserves (Boe)</t>
  </si>
  <si>
    <t>NGL Reserves (Bbl)</t>
  </si>
  <si>
    <t>Natural Gas Reserves (Boe)</t>
  </si>
  <si>
    <t>Oil Reserves (Boe)</t>
  </si>
  <si>
    <t>Total Reserves (Boe)</t>
  </si>
  <si>
    <t>Total Reserves (Mboe)</t>
  </si>
  <si>
    <t>NGL Multiplier to Bbl</t>
  </si>
  <si>
    <t>Reserve Standardization:</t>
  </si>
  <si>
    <t>Reserve Types:</t>
  </si>
  <si>
    <t>Multiplier to Bbl</t>
  </si>
  <si>
    <t>Proved Developed Gas Reserves (Mcf)</t>
  </si>
  <si>
    <t>Proved Developed Gas Reserves (Filing)</t>
  </si>
  <si>
    <t>Proved Developed Oil Reserves (Filing)</t>
  </si>
  <si>
    <t>Proved Developed NGL Reserves (Filing)</t>
  </si>
  <si>
    <t>Proved Undeveloped Gas Reserves (Filing)</t>
  </si>
  <si>
    <t>Proved Undeveloped Oil Reserves (Filing)</t>
  </si>
  <si>
    <t>Proved Undeveloped NGL Reserves (Filing)</t>
  </si>
  <si>
    <t>Proved Developed Oil Reserves (Bbl)</t>
  </si>
  <si>
    <t>Proved Developed NGL Reserves (Bbl)</t>
  </si>
  <si>
    <t>Proved Undeveloped Gas Reserves (Mcf)</t>
  </si>
  <si>
    <t>Proved Undeveloped Oil Reserves (Bbl)</t>
  </si>
  <si>
    <t>Proved Undeveloped NGL Reserves (Bbl)</t>
  </si>
  <si>
    <t>Production:</t>
  </si>
  <si>
    <t>Proved Developed (PD):</t>
  </si>
  <si>
    <t>Proved Undeveloped (PUD):</t>
  </si>
  <si>
    <t>Reserve Standardization (Boe):</t>
  </si>
  <si>
    <t>PD Gas Reserves</t>
  </si>
  <si>
    <t>PD Oil Reserves</t>
  </si>
  <si>
    <t>PD NGL Reserves</t>
  </si>
  <si>
    <t>PUD Gas Reserves</t>
  </si>
  <si>
    <t>PUD Oil Reserves</t>
  </si>
  <si>
    <t>PUD NGL Reserves</t>
  </si>
  <si>
    <t>Total PD Reserves</t>
  </si>
  <si>
    <t>Total PUD Reserves</t>
  </si>
  <si>
    <t>Reserve Metrics:</t>
  </si>
  <si>
    <t>%</t>
  </si>
  <si>
    <t>Reserve Life Index (In Years)</t>
  </si>
  <si>
    <t>Years left at current production rates</t>
  </si>
  <si>
    <t>Proved Undeveloped Percentage (PUD %)</t>
  </si>
  <si>
    <t>% of proved reserves undeveloped. Require capital spending</t>
  </si>
  <si>
    <t>% of proved reserves developed.  Require little capital spending</t>
  </si>
  <si>
    <t>Reserves Per Share</t>
  </si>
  <si>
    <t>Boe / Share</t>
  </si>
  <si>
    <t xml:space="preserve">Proved Developed Percentage (PD %) </t>
  </si>
  <si>
    <t>How many reserves are available per share</t>
  </si>
  <si>
    <t>Total Reserve Growth %</t>
  </si>
  <si>
    <t>$/Mcf</t>
  </si>
  <si>
    <t>$/Bbl</t>
  </si>
  <si>
    <t>$/Boe</t>
  </si>
  <si>
    <t>Natural Gas Realized Price ($/Mcf)</t>
  </si>
  <si>
    <t>Natural Gas Growth %</t>
  </si>
  <si>
    <t>Natural Gas Production (Boe)</t>
  </si>
  <si>
    <t>Total Boe Growth %</t>
  </si>
  <si>
    <t>Gas Production %</t>
  </si>
  <si>
    <t>Oil Production %</t>
  </si>
  <si>
    <t>NGL Production %</t>
  </si>
  <si>
    <t>Production Mix %:</t>
  </si>
  <si>
    <t>Reserves Mix %:</t>
  </si>
  <si>
    <t>Gas Reserves %</t>
  </si>
  <si>
    <t>Oil Reserves %</t>
  </si>
  <si>
    <t>NGL Reserves %</t>
  </si>
  <si>
    <t>Equity</t>
  </si>
  <si>
    <t>Most Recent Filing</t>
  </si>
  <si>
    <t>Dilution %</t>
  </si>
  <si>
    <t>Market Capitalization Diluted</t>
  </si>
  <si>
    <t>Debt &amp; Liquidity</t>
  </si>
  <si>
    <t>Debt:</t>
  </si>
  <si>
    <t>Shares:</t>
  </si>
  <si>
    <t>Revolving Credit Facility</t>
  </si>
  <si>
    <t>Term Loans</t>
  </si>
  <si>
    <t>Senior Notes</t>
  </si>
  <si>
    <t>Convertible Debt</t>
  </si>
  <si>
    <t>Other Debt</t>
  </si>
  <si>
    <t>Total Debt</t>
  </si>
  <si>
    <t>Total Cash</t>
  </si>
  <si>
    <t>2026 Q1 10-Q</t>
  </si>
  <si>
    <t>Cash:</t>
  </si>
  <si>
    <t>Debt Schedule</t>
  </si>
  <si>
    <t>Debt Summary</t>
  </si>
  <si>
    <t>Debt Instruments:</t>
  </si>
  <si>
    <t>Terms Loans</t>
  </si>
  <si>
    <t>Finance Leases</t>
  </si>
  <si>
    <t>Debt Metrics:</t>
  </si>
  <si>
    <t>Debt / Adjusted EBITDA</t>
  </si>
  <si>
    <t>Net Debt / Adjusted EBITDA</t>
  </si>
  <si>
    <t>Adjusted EBITDA / Interest Expense</t>
  </si>
  <si>
    <t>Negative means net cash company. Not leveraged</t>
  </si>
  <si>
    <t xml:space="preserve">If 100% of adj. EBITDA went to debt payments, it'd take X years to repay. </t>
  </si>
  <si>
    <t xml:space="preserve">Annual cost of debt. </t>
  </si>
  <si>
    <t xml:space="preserve">How many times over can EBITDA cover interest. </t>
  </si>
  <si>
    <t>Maturity Date</t>
  </si>
  <si>
    <t>Liquidity:</t>
  </si>
  <si>
    <t>Debt Details</t>
  </si>
  <si>
    <t>Debt Instrument Type:</t>
  </si>
  <si>
    <t>Term Loan A</t>
  </si>
  <si>
    <t>Term Loan B</t>
  </si>
  <si>
    <t>Senior Note A</t>
  </si>
  <si>
    <t>Senior Note B</t>
  </si>
  <si>
    <t>Senior Note C</t>
  </si>
  <si>
    <t>Convertible Notes</t>
  </si>
  <si>
    <t>Crrent Balance</t>
  </si>
  <si>
    <t>Interest Rates</t>
  </si>
  <si>
    <t>Natural Gas Production (Mcf)</t>
  </si>
  <si>
    <t>Oil Production Growth %</t>
  </si>
  <si>
    <t>NGL Production (Bbl)</t>
  </si>
  <si>
    <t>NGL Production Growth %</t>
  </si>
  <si>
    <t>Actuals</t>
  </si>
  <si>
    <t>Assumptons</t>
  </si>
  <si>
    <t>Production Forecast</t>
  </si>
  <si>
    <t>Natural Gas Production Growth %</t>
  </si>
  <si>
    <t>Total Production Growth %</t>
  </si>
  <si>
    <t>Oil Price ($/Bbl)</t>
  </si>
  <si>
    <t>NGL Price ($/Bbl)</t>
  </si>
  <si>
    <t>Scenario</t>
  </si>
  <si>
    <t>Base</t>
  </si>
  <si>
    <t>Bear</t>
  </si>
  <si>
    <t>Bull</t>
  </si>
  <si>
    <t>Natural Gas Growth %:</t>
  </si>
  <si>
    <t>Oil Growth %:</t>
  </si>
  <si>
    <t>NGL Growth %:</t>
  </si>
  <si>
    <t>Natural Gas ($Mcf):</t>
  </si>
  <si>
    <t>Oil ($/Bbl):</t>
  </si>
  <si>
    <t>NGL ($/Bbl):</t>
  </si>
  <si>
    <t>Active Assumption:</t>
  </si>
  <si>
    <t>Gas Growth %</t>
  </si>
  <si>
    <t>Natural Gas Price ($/Mcf)</t>
  </si>
  <si>
    <t>Revenue Forecast</t>
  </si>
  <si>
    <t>Oil</t>
  </si>
  <si>
    <t>Total Hydrocarbon Revenue</t>
  </si>
  <si>
    <t>Total Hydrocarbon Revenue Growth %</t>
  </si>
  <si>
    <t>Natural Gas % of Revnue</t>
  </si>
  <si>
    <t>Oil % of Revenue</t>
  </si>
  <si>
    <t>NGL % of Revenue</t>
  </si>
  <si>
    <t>Operating Expenses Forecast</t>
  </si>
  <si>
    <t>Lease Operating Expense</t>
  </si>
  <si>
    <t>Lease Operating Expense / Boe</t>
  </si>
  <si>
    <t>Gathering System Operating Expense</t>
  </si>
  <si>
    <t>Gathering System Operating Expense / Boe</t>
  </si>
  <si>
    <t>G&amp;A Expense</t>
  </si>
  <si>
    <t>G&amp;A Expense / Boe</t>
  </si>
  <si>
    <t>DD&amp;A Expense</t>
  </si>
  <si>
    <t>DD&amp;A Expense / Boe</t>
  </si>
  <si>
    <t>Total Operating Expense</t>
  </si>
  <si>
    <t>Total Operating Expense / Boe</t>
  </si>
  <si>
    <t>Operating Expense:</t>
  </si>
  <si>
    <t>Gas Gathering System Revenue</t>
  </si>
  <si>
    <t>Gas Gathering System Revenue Growth %</t>
  </si>
  <si>
    <t>Total Revenue Growth %</t>
  </si>
  <si>
    <t>Profitability Forecast</t>
  </si>
  <si>
    <t>Gas Gathering System % of Revenue</t>
  </si>
  <si>
    <t>Hydroocarbon Revenue / Boe</t>
  </si>
  <si>
    <t>% of Revenue:</t>
  </si>
  <si>
    <t>Commidity Prices:</t>
  </si>
  <si>
    <t>Operating Income (EBIT)</t>
  </si>
  <si>
    <t>EBIT Margin %</t>
  </si>
  <si>
    <t>EBT</t>
  </si>
  <si>
    <t>Income Tax Expense</t>
  </si>
  <si>
    <t>Net Income Margin %</t>
  </si>
  <si>
    <t>Diluted Shares Outstanding</t>
  </si>
  <si>
    <t>EPS (Diluted)</t>
  </si>
  <si>
    <t>EBTDAX</t>
  </si>
  <si>
    <t>Stock Based Compensation</t>
  </si>
  <si>
    <t>EBITDAX / Boe</t>
  </si>
  <si>
    <t>Stock Based Compensation Growth %</t>
  </si>
  <si>
    <t>DD&amp;A Expense Growth %</t>
  </si>
  <si>
    <t>Effective Tax Rate</t>
  </si>
  <si>
    <t>Diluted Weighted Avg Shares Outstanding</t>
  </si>
  <si>
    <t>Cash Flow Forecast</t>
  </si>
  <si>
    <t>Other Non Cash Items</t>
  </si>
  <si>
    <t>Cash From Operations</t>
  </si>
  <si>
    <t>Capex / Boe</t>
  </si>
  <si>
    <t>Free Cash Flow Margin %</t>
  </si>
  <si>
    <t>Net Asset Value (NAV)</t>
  </si>
  <si>
    <t>Net Asset Value / Share</t>
  </si>
  <si>
    <t>Reserve Value (PV-10 Approximation)</t>
  </si>
  <si>
    <t>Basic NAV Valuation</t>
  </si>
  <si>
    <t>Enterprise Value</t>
  </si>
  <si>
    <t>Market Capitalization (Diluted)</t>
  </si>
  <si>
    <t>Minority Interest (Non-Controlling Interest)</t>
  </si>
  <si>
    <t>* Do not double count convertible securities and convertible debt in enterprise value</t>
  </si>
  <si>
    <t>Current Share Price</t>
  </si>
  <si>
    <t>Margin of Safety</t>
  </si>
  <si>
    <t>Enterprise Value and Trading Multiples</t>
  </si>
  <si>
    <t>Discount (Premium) to NAV</t>
  </si>
  <si>
    <t>EBIT</t>
  </si>
  <si>
    <t>EPS</t>
  </si>
  <si>
    <t>Year:</t>
  </si>
  <si>
    <t>Free Cash Flow Yield</t>
  </si>
  <si>
    <t>EV / EBITDA</t>
  </si>
  <si>
    <t>EV / EBITDAX</t>
  </si>
  <si>
    <t>EV / EBIT</t>
  </si>
  <si>
    <t>Forward P / E</t>
  </si>
  <si>
    <t>EV / Boe per Day</t>
  </si>
  <si>
    <t>NAV / Share</t>
  </si>
  <si>
    <t>Price / NAV</t>
  </si>
  <si>
    <t>Average Daily Production (Boe / Day)</t>
  </si>
  <si>
    <t>Proved Reserves (Boe)</t>
  </si>
  <si>
    <t>EV / Proved Boe</t>
  </si>
  <si>
    <t>Intrinsic Value and Margin of Safety</t>
  </si>
  <si>
    <t>Oil Price</t>
  </si>
  <si>
    <t>Natural Gas Price</t>
  </si>
  <si>
    <t>NGL Price</t>
  </si>
  <si>
    <t>What-If Scenario Table</t>
  </si>
  <si>
    <t>What-If Analysis</t>
  </si>
  <si>
    <t>Target EV/EBITDAX</t>
  </si>
  <si>
    <t>Target Enterprise Value</t>
  </si>
  <si>
    <t>Target Equity Value</t>
  </si>
  <si>
    <t>Assumptions:</t>
  </si>
  <si>
    <t>Forecasts (2026E):</t>
  </si>
  <si>
    <t>Production (Boe)</t>
  </si>
  <si>
    <t>Revenue</t>
  </si>
  <si>
    <t>Valuation:</t>
  </si>
  <si>
    <t>Fully Diluted Share</t>
  </si>
  <si>
    <t>Intrinsic Value / Share</t>
  </si>
  <si>
    <t>Upside (Downside)</t>
  </si>
  <si>
    <t>FCF</t>
  </si>
  <si>
    <t>Market Comparisons: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</si>
</sst>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#,##0;\(#,##0\);\-"/>
    <numFmt numFmtId="166" formatCode="#,##0.00\x;\(#,##0.00\)\x;\-\x"/>
    <numFmt numFmtId="167" formatCode="&quot;$&quot;0.00;\(&quot;$&quot;0.00\)"/>
    <numFmt numFmtId="168" formatCode="#,##0.00;\(#,##0.00\);\-"/>
    <numFmt numFmtId="169" formatCode="0.0%"/>
    <numFmt numFmtId="170" formatCode="#,##0.0;\(#,##0.0\);\-"/>
    <numFmt numFmtId="171" formatCode="#,##0.00\x;\(#,##0.00\x\);0.00\x"/>
    <numFmt numFmtId="172" formatCode="#,##0.0\x;\(#,##0.0\x\);0.0\x"/>
    <numFmt numFmtId="173" formatCode="0000\A"/>
    <numFmt numFmtId="174" formatCode="0000\E"/>
    <numFmt numFmtId="175" formatCode="0.0\x"/>
    <numFmt numFmtId="176" formatCode="0.00\x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2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8"/>
      <color theme="1"/>
      <name val="Times New Roman"/>
      <family val="1"/>
    </font>
    <font>
      <i/>
      <sz val="8"/>
      <color theme="1"/>
      <name val="Times New Roman"/>
      <family val="1"/>
    </font>
    <font>
      <b/>
      <sz val="8"/>
      <color theme="1"/>
      <name val="Times New Roman"/>
      <family val="1"/>
    </font>
    <font>
      <i/>
      <sz val="12"/>
      <color theme="1"/>
      <name val="Times New Roman"/>
      <family val="1"/>
    </font>
    <font>
      <sz val="22"/>
      <color theme="0"/>
      <name val="Times New Roman"/>
      <family val="1"/>
    </font>
    <font>
      <sz val="18"/>
      <color theme="0"/>
      <name val="Times New Roman"/>
      <family val="1"/>
    </font>
    <font>
      <sz val="11"/>
      <color rgb="FF000000"/>
      <name val="Times New Roman"/>
      <family val="1"/>
    </font>
    <font>
      <sz val="18"/>
      <color rgb="FF000000"/>
      <name val="Times New Roman"/>
      <family val="1"/>
    </font>
    <font>
      <sz val="12"/>
      <color theme="3" tint="9.9978637043366805E-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theme="6" tint="-0.24994659260841701"/>
      </top>
      <bottom/>
      <diagonal/>
    </border>
    <border>
      <left/>
      <right/>
      <top/>
      <bottom style="medium">
        <color theme="6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19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1" fillId="0" borderId="0" xfId="0" applyFont="1" applyAlignment="1">
      <alignment horizontal="right"/>
    </xf>
    <xf numFmtId="164" fontId="2" fillId="0" borderId="0" xfId="0" applyNumberFormat="1" applyFont="1"/>
    <xf numFmtId="164" fontId="1" fillId="0" borderId="0" xfId="0" applyNumberFormat="1" applyFont="1"/>
    <xf numFmtId="37" fontId="2" fillId="0" borderId="0" xfId="0" applyNumberFormat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2" fillId="0" borderId="0" xfId="0" applyFont="1"/>
    <xf numFmtId="3" fontId="5" fillId="0" borderId="0" xfId="0" applyNumberFormat="1" applyFont="1"/>
    <xf numFmtId="3" fontId="9" fillId="0" borderId="0" xfId="0" applyNumberFormat="1" applyFont="1"/>
    <xf numFmtId="3" fontId="1" fillId="0" borderId="0" xfId="0" applyNumberFormat="1" applyFont="1"/>
    <xf numFmtId="37" fontId="1" fillId="0" borderId="0" xfId="0" applyNumberFormat="1" applyFont="1"/>
    <xf numFmtId="37" fontId="6" fillId="0" borderId="0" xfId="0" applyNumberFormat="1" applyFont="1"/>
    <xf numFmtId="0" fontId="1" fillId="0" borderId="0" xfId="0" applyFont="1" applyAlignment="1">
      <alignment horizontal="left" indent="2"/>
    </xf>
    <xf numFmtId="0" fontId="6" fillId="0" borderId="0" xfId="0" applyFont="1" applyAlignment="1">
      <alignment horizontal="left" indent="1"/>
    </xf>
    <xf numFmtId="0" fontId="8" fillId="0" borderId="0" xfId="0" applyFont="1"/>
    <xf numFmtId="37" fontId="1" fillId="0" borderId="0" xfId="0" applyNumberFormat="1" applyFont="1" applyAlignment="1">
      <alignment horizontal="left" indent="2"/>
    </xf>
    <xf numFmtId="3" fontId="6" fillId="0" borderId="0" xfId="0" applyNumberFormat="1" applyFont="1"/>
    <xf numFmtId="0" fontId="10" fillId="0" borderId="0" xfId="0" applyFont="1"/>
    <xf numFmtId="165" fontId="1" fillId="0" borderId="0" xfId="0" applyNumberFormat="1" applyFont="1"/>
    <xf numFmtId="165" fontId="6" fillId="0" borderId="0" xfId="0" applyNumberFormat="1" applyFont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5" fontId="6" fillId="0" borderId="0" xfId="0" applyNumberFormat="1" applyFont="1"/>
    <xf numFmtId="37" fontId="6" fillId="0" borderId="0" xfId="0" applyNumberFormat="1" applyFont="1" applyAlignment="1">
      <alignment horizontal="left"/>
    </xf>
    <xf numFmtId="165" fontId="1" fillId="3" borderId="0" xfId="0" applyNumberFormat="1" applyFont="1" applyFill="1"/>
    <xf numFmtId="165" fontId="2" fillId="3" borderId="0" xfId="0" applyNumberFormat="1" applyFont="1" applyFill="1"/>
    <xf numFmtId="0" fontId="6" fillId="0" borderId="2" xfId="0" applyFont="1" applyBorder="1" applyAlignment="1">
      <alignment horizontal="right"/>
    </xf>
    <xf numFmtId="0" fontId="1" fillId="0" borderId="0" xfId="0" applyFont="1" applyAlignment="1">
      <alignment horizontal="left" indent="1"/>
    </xf>
    <xf numFmtId="0" fontId="6" fillId="0" borderId="0" xfId="0" applyFont="1" applyAlignment="1">
      <alignment horizontal="left"/>
    </xf>
    <xf numFmtId="165" fontId="6" fillId="4" borderId="1" xfId="0" applyNumberFormat="1" applyFont="1" applyFill="1" applyBorder="1" applyAlignment="1">
      <alignment horizontal="right"/>
    </xf>
    <xf numFmtId="165" fontId="6" fillId="4" borderId="0" xfId="0" applyNumberFormat="1" applyFont="1" applyFill="1"/>
    <xf numFmtId="0" fontId="6" fillId="0" borderId="0" xfId="0" applyFont="1" applyAlignment="1">
      <alignment horizontal="left" indent="2"/>
    </xf>
    <xf numFmtId="0" fontId="13" fillId="0" borderId="0" xfId="0" applyFont="1"/>
    <xf numFmtId="0" fontId="12" fillId="0" borderId="0" xfId="0" applyFont="1"/>
    <xf numFmtId="0" fontId="14" fillId="0" borderId="0" xfId="0" applyFont="1"/>
    <xf numFmtId="3" fontId="12" fillId="0" borderId="0" xfId="0" applyNumberFormat="1" applyFont="1"/>
    <xf numFmtId="0" fontId="15" fillId="0" borderId="0" xfId="0" applyFont="1"/>
    <xf numFmtId="0" fontId="1" fillId="0" borderId="0" xfId="0" applyFont="1" applyAlignment="1">
      <alignment horizontal="left" indent="3"/>
    </xf>
    <xf numFmtId="165" fontId="6" fillId="3" borderId="0" xfId="0" applyNumberFormat="1" applyFont="1" applyFill="1"/>
    <xf numFmtId="0" fontId="1" fillId="0" borderId="0" xfId="0" applyFont="1" applyAlignment="1">
      <alignment horizontal="left"/>
    </xf>
    <xf numFmtId="0" fontId="16" fillId="2" borderId="0" xfId="0" applyFont="1" applyFill="1"/>
    <xf numFmtId="0" fontId="17" fillId="2" borderId="0" xfId="0" applyFont="1" applyFill="1"/>
    <xf numFmtId="3" fontId="18" fillId="0" borderId="0" xfId="0" applyNumberFormat="1" applyFont="1"/>
    <xf numFmtId="0" fontId="19" fillId="0" borderId="0" xfId="0" applyFont="1"/>
    <xf numFmtId="10" fontId="1" fillId="3" borderId="0" xfId="1" applyNumberFormat="1" applyFont="1" applyFill="1"/>
    <xf numFmtId="0" fontId="6" fillId="0" borderId="0" xfId="0" applyFont="1" applyAlignment="1">
      <alignment horizontal="right"/>
    </xf>
    <xf numFmtId="0" fontId="1" fillId="2" borderId="0" xfId="0" applyFont="1" applyFill="1"/>
    <xf numFmtId="165" fontId="1" fillId="2" borderId="0" xfId="0" applyNumberFormat="1" applyFont="1" applyFill="1"/>
    <xf numFmtId="0" fontId="10" fillId="2" borderId="0" xfId="0" applyFont="1" applyFill="1"/>
    <xf numFmtId="165" fontId="10" fillId="2" borderId="0" xfId="0" applyNumberFormat="1" applyFont="1" applyFill="1"/>
    <xf numFmtId="166" fontId="6" fillId="3" borderId="0" xfId="0" applyNumberFormat="1" applyFont="1" applyFill="1"/>
    <xf numFmtId="167" fontId="1" fillId="3" borderId="0" xfId="0" applyNumberFormat="1" applyFont="1" applyFill="1"/>
    <xf numFmtId="9" fontId="1" fillId="3" borderId="0" xfId="1" applyFont="1" applyFill="1"/>
    <xf numFmtId="167" fontId="1" fillId="0" borderId="0" xfId="0" applyNumberFormat="1" applyFont="1"/>
    <xf numFmtId="9" fontId="1" fillId="0" borderId="0" xfId="1" applyFont="1" applyFill="1" applyAlignment="1">
      <alignment horizontal="right"/>
    </xf>
    <xf numFmtId="9" fontId="1" fillId="0" borderId="0" xfId="1" applyFont="1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2" fontId="1" fillId="0" borderId="0" xfId="0" applyNumberFormat="1" applyFont="1"/>
    <xf numFmtId="168" fontId="1" fillId="3" borderId="0" xfId="0" applyNumberFormat="1" applyFont="1" applyFill="1"/>
    <xf numFmtId="169" fontId="1" fillId="3" borderId="0" xfId="1" applyNumberFormat="1" applyFont="1" applyFill="1"/>
    <xf numFmtId="169" fontId="6" fillId="3" borderId="0" xfId="1" applyNumberFormat="1" applyFont="1" applyFill="1"/>
    <xf numFmtId="168" fontId="6" fillId="3" borderId="0" xfId="0" applyNumberFormat="1" applyFont="1" applyFill="1"/>
    <xf numFmtId="0" fontId="6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44" fontId="1" fillId="0" borderId="0" xfId="0" applyNumberFormat="1" applyFont="1"/>
    <xf numFmtId="44" fontId="1" fillId="3" borderId="0" xfId="0" applyNumberFormat="1" applyFont="1" applyFill="1"/>
    <xf numFmtId="44" fontId="1" fillId="3" borderId="0" xfId="0" applyNumberFormat="1" applyFont="1" applyFill="1" applyAlignment="1">
      <alignment horizontal="right"/>
    </xf>
    <xf numFmtId="169" fontId="6" fillId="0" borderId="0" xfId="1" applyNumberFormat="1" applyFont="1" applyFill="1"/>
    <xf numFmtId="169" fontId="6" fillId="0" borderId="1" xfId="1" applyNumberFormat="1" applyFont="1" applyBorder="1" applyAlignment="1">
      <alignment horizontal="right"/>
    </xf>
    <xf numFmtId="168" fontId="6" fillId="0" borderId="1" xfId="0" applyNumberFormat="1" applyFont="1" applyBorder="1" applyAlignment="1">
      <alignment horizontal="right"/>
    </xf>
    <xf numFmtId="168" fontId="6" fillId="0" borderId="0" xfId="0" applyNumberFormat="1" applyFont="1"/>
    <xf numFmtId="170" fontId="6" fillId="3" borderId="0" xfId="0" applyNumberFormat="1" applyFont="1" applyFill="1"/>
    <xf numFmtId="171" fontId="1" fillId="3" borderId="0" xfId="0" applyNumberFormat="1" applyFont="1" applyFill="1"/>
    <xf numFmtId="172" fontId="1" fillId="3" borderId="0" xfId="0" applyNumberFormat="1" applyFont="1" applyFill="1"/>
    <xf numFmtId="14" fontId="1" fillId="0" borderId="0" xfId="0" applyNumberFormat="1" applyFont="1"/>
    <xf numFmtId="173" fontId="6" fillId="0" borderId="2" xfId="0" applyNumberFormat="1" applyFont="1" applyBorder="1" applyAlignment="1">
      <alignment horizontal="right"/>
    </xf>
    <xf numFmtId="9" fontId="1" fillId="0" borderId="0" xfId="1" applyFont="1"/>
    <xf numFmtId="169" fontId="1" fillId="0" borderId="0" xfId="1" applyNumberFormat="1" applyFont="1"/>
    <xf numFmtId="0" fontId="1" fillId="3" borderId="0" xfId="0" applyFont="1" applyFill="1"/>
    <xf numFmtId="0" fontId="1" fillId="5" borderId="0" xfId="0" applyFont="1" applyFill="1"/>
    <xf numFmtId="9" fontId="20" fillId="0" borderId="0" xfId="1" applyFont="1" applyFill="1"/>
    <xf numFmtId="165" fontId="20" fillId="0" borderId="0" xfId="0" applyNumberFormat="1" applyFont="1"/>
    <xf numFmtId="169" fontId="1" fillId="0" borderId="0" xfId="1" applyNumberFormat="1" applyFont="1" applyFill="1"/>
    <xf numFmtId="0" fontId="20" fillId="0" borderId="0" xfId="0" applyFont="1"/>
    <xf numFmtId="174" fontId="6" fillId="6" borderId="2" xfId="0" applyNumberFormat="1" applyFont="1" applyFill="1" applyBorder="1" applyAlignment="1">
      <alignment horizontal="right"/>
    </xf>
    <xf numFmtId="174" fontId="6" fillId="0" borderId="0" xfId="0" applyNumberFormat="1" applyFont="1" applyAlignment="1">
      <alignment horizontal="right"/>
    </xf>
    <xf numFmtId="9" fontId="1" fillId="0" borderId="0" xfId="0" applyNumberFormat="1" applyFont="1"/>
    <xf numFmtId="9" fontId="6" fillId="0" borderId="0" xfId="1" applyFont="1"/>
    <xf numFmtId="168" fontId="1" fillId="0" borderId="0" xfId="0" applyNumberFormat="1" applyFont="1"/>
    <xf numFmtId="2" fontId="6" fillId="0" borderId="0" xfId="0" applyNumberFormat="1" applyFont="1"/>
    <xf numFmtId="39" fontId="1" fillId="0" borderId="0" xfId="0" applyNumberFormat="1" applyFont="1"/>
    <xf numFmtId="39" fontId="6" fillId="0" borderId="0" xfId="0" applyNumberFormat="1" applyFont="1"/>
    <xf numFmtId="9" fontId="6" fillId="0" borderId="0" xfId="1" applyFont="1" applyFill="1"/>
    <xf numFmtId="175" fontId="6" fillId="0" borderId="0" xfId="0" applyNumberFormat="1" applyFont="1"/>
    <xf numFmtId="174" fontId="6" fillId="0" borderId="0" xfId="0" applyNumberFormat="1" applyFont="1" applyAlignment="1">
      <alignment horizontal="left"/>
    </xf>
    <xf numFmtId="176" fontId="1" fillId="0" borderId="0" xfId="0" applyNumberFormat="1" applyFont="1"/>
    <xf numFmtId="168" fontId="1" fillId="3" borderId="6" xfId="0" applyNumberFormat="1" applyFont="1" applyFill="1" applyBorder="1"/>
    <xf numFmtId="168" fontId="1" fillId="3" borderId="7" xfId="0" applyNumberFormat="1" applyFont="1" applyFill="1" applyBorder="1"/>
    <xf numFmtId="168" fontId="1" fillId="3" borderId="8" xfId="0" applyNumberFormat="1" applyFont="1" applyFill="1" applyBorder="1"/>
    <xf numFmtId="168" fontId="1" fillId="3" borderId="9" xfId="0" applyNumberFormat="1" applyFont="1" applyFill="1" applyBorder="1"/>
    <xf numFmtId="168" fontId="1" fillId="3" borderId="10" xfId="0" applyNumberFormat="1" applyFont="1" applyFill="1" applyBorder="1"/>
    <xf numFmtId="9" fontId="1" fillId="3" borderId="3" xfId="1" applyFont="1" applyFill="1" applyBorder="1"/>
    <xf numFmtId="9" fontId="1" fillId="3" borderId="4" xfId="1" applyFont="1" applyFill="1" applyBorder="1"/>
    <xf numFmtId="9" fontId="1" fillId="3" borderId="5" xfId="1" applyFont="1" applyFill="1" applyBorder="1"/>
    <xf numFmtId="9" fontId="1" fillId="3" borderId="6" xfId="1" applyFont="1" applyFill="1" applyBorder="1"/>
    <xf numFmtId="9" fontId="1" fillId="3" borderId="0" xfId="1" applyFont="1" applyFill="1" applyBorder="1"/>
    <xf numFmtId="9" fontId="1" fillId="3" borderId="7" xfId="1" applyFont="1" applyFill="1" applyBorder="1"/>
    <xf numFmtId="0" fontId="1" fillId="3" borderId="0" xfId="0" applyFont="1" applyFill="1" applyAlignment="1">
      <alignment horizontal="center"/>
    </xf>
    <xf numFmtId="175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3EF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fmlaLink="$C$4" fmlaRange="$B$8:$B$10" noThreeD="1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0</xdr:rowOff>
        </xdr:from>
        <xdr:to>
          <xdr:col>3</xdr:col>
          <xdr:colOff>0</xdr:colOff>
          <xdr:row>4</xdr:row>
          <xdr:rowOff>0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D9C9-9C97-7141-8E67-837BAEE54227}">
  <dimension ref="C3:G17"/>
  <sheetViews>
    <sheetView showGridLines="0" workbookViewId="0">
      <selection activeCell="D12" sqref="D12"/>
    </sheetView>
  </sheetViews>
  <sheetFormatPr defaultColWidth="11" defaultRowHeight="15.75" x14ac:dyDescent="0.25"/>
  <sheetData>
    <row r="3" spans="3:7" ht="36" x14ac:dyDescent="0.55000000000000004">
      <c r="C3" s="8" t="s">
        <v>9</v>
      </c>
    </row>
    <row r="6" spans="3:7" ht="28.5" x14ac:dyDescent="0.45">
      <c r="C6" s="7" t="s">
        <v>15</v>
      </c>
      <c r="D6" s="7"/>
      <c r="E6" s="7"/>
      <c r="F6" s="7"/>
      <c r="G6" s="7"/>
    </row>
    <row r="7" spans="3:7" ht="28.5" x14ac:dyDescent="0.45">
      <c r="C7" s="9">
        <v>1</v>
      </c>
      <c r="D7" s="7" t="s">
        <v>10</v>
      </c>
      <c r="E7" s="7"/>
      <c r="F7" s="7"/>
      <c r="G7" s="7"/>
    </row>
    <row r="8" spans="3:7" ht="28.5" x14ac:dyDescent="0.45">
      <c r="C8" s="9">
        <f>C7+1</f>
        <v>2</v>
      </c>
      <c r="D8" s="7" t="s">
        <v>11</v>
      </c>
      <c r="E8" s="7"/>
      <c r="F8" s="7"/>
      <c r="G8" s="7"/>
    </row>
    <row r="9" spans="3:7" ht="28.5" x14ac:dyDescent="0.45">
      <c r="C9" s="9">
        <f t="shared" ref="C9:C14" si="0">C8+1</f>
        <v>3</v>
      </c>
      <c r="D9" s="7" t="s">
        <v>12</v>
      </c>
      <c r="E9" s="7"/>
      <c r="F9" s="7"/>
      <c r="G9" s="7"/>
    </row>
    <row r="10" spans="3:7" ht="28.5" x14ac:dyDescent="0.45">
      <c r="C10" s="9">
        <f t="shared" si="0"/>
        <v>4</v>
      </c>
      <c r="D10" s="7" t="s">
        <v>2</v>
      </c>
      <c r="E10" s="7"/>
      <c r="F10" s="7"/>
      <c r="G10" s="7"/>
    </row>
    <row r="11" spans="3:7" ht="28.5" x14ac:dyDescent="0.45">
      <c r="C11" s="9">
        <f t="shared" si="0"/>
        <v>5</v>
      </c>
      <c r="D11" s="7" t="s">
        <v>354</v>
      </c>
      <c r="E11" s="7"/>
      <c r="F11" s="7"/>
      <c r="G11" s="7"/>
    </row>
    <row r="12" spans="3:7" ht="28.5" x14ac:dyDescent="0.45">
      <c r="C12" s="9">
        <f t="shared" si="0"/>
        <v>6</v>
      </c>
      <c r="D12" s="7" t="s">
        <v>186</v>
      </c>
      <c r="E12" s="7"/>
      <c r="F12" s="7"/>
      <c r="G12" s="7"/>
    </row>
    <row r="13" spans="3:7" ht="28.5" x14ac:dyDescent="0.45">
      <c r="C13" s="9">
        <f t="shared" si="0"/>
        <v>7</v>
      </c>
      <c r="D13" s="7" t="s">
        <v>13</v>
      </c>
      <c r="E13" s="7"/>
      <c r="F13" s="7"/>
      <c r="G13" s="7"/>
    </row>
    <row r="14" spans="3:7" ht="28.5" x14ac:dyDescent="0.45">
      <c r="C14" s="9">
        <f t="shared" si="0"/>
        <v>8</v>
      </c>
      <c r="D14" s="7" t="s">
        <v>14</v>
      </c>
      <c r="E14" s="7"/>
      <c r="F14" s="7"/>
      <c r="G14" s="7"/>
    </row>
    <row r="15" spans="3:7" ht="28.5" x14ac:dyDescent="0.45">
      <c r="C15" s="7"/>
      <c r="D15" s="7"/>
      <c r="E15" s="7"/>
      <c r="F15" s="7"/>
      <c r="G15" s="7"/>
    </row>
    <row r="16" spans="3:7" ht="28.5" x14ac:dyDescent="0.45">
      <c r="C16" s="7"/>
      <c r="D16" s="7"/>
      <c r="E16" s="7"/>
      <c r="F16" s="7"/>
      <c r="G16" s="7"/>
    </row>
    <row r="17" spans="3:7" ht="28.5" x14ac:dyDescent="0.45">
      <c r="C17" s="7"/>
      <c r="D17" s="7"/>
      <c r="E17" s="7"/>
      <c r="F17" s="7"/>
      <c r="G1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644B-0756-4F41-9045-13DA8231DB0E}">
  <dimension ref="A3:P296"/>
  <sheetViews>
    <sheetView showGridLines="0" topLeftCell="A270" zoomScaleNormal="100" workbookViewId="0">
      <selection activeCell="B273" sqref="B273"/>
    </sheetView>
  </sheetViews>
  <sheetFormatPr defaultColWidth="10.875" defaultRowHeight="15.75" x14ac:dyDescent="0.25"/>
  <cols>
    <col min="1" max="3" width="10.875" style="1"/>
    <col min="4" max="4" width="22.125" style="1" customWidth="1"/>
    <col min="5" max="5" width="21.375" style="1" customWidth="1"/>
    <col min="6" max="8" width="16.625" style="24" bestFit="1" customWidth="1"/>
    <col min="9" max="9" width="12.375" style="24" customWidth="1"/>
    <col min="10" max="10" width="16.625" style="24" bestFit="1" customWidth="1"/>
    <col min="11" max="16384" width="10.875" style="1"/>
  </cols>
  <sheetData>
    <row r="3" spans="1:12" ht="27.75" x14ac:dyDescent="0.4">
      <c r="A3" s="1" t="s">
        <v>185</v>
      </c>
      <c r="B3" s="45" t="s">
        <v>44</v>
      </c>
      <c r="C3" s="51"/>
      <c r="D3" s="51"/>
      <c r="E3" s="51"/>
      <c r="F3" s="52"/>
      <c r="G3" s="52"/>
      <c r="H3" s="52"/>
      <c r="I3" s="52"/>
      <c r="J3" s="52"/>
      <c r="K3" s="51"/>
      <c r="L3" s="51"/>
    </row>
    <row r="5" spans="1:12" x14ac:dyDescent="0.25">
      <c r="E5" s="3"/>
    </row>
    <row r="6" spans="1:12" s="23" customFormat="1" ht="20.100000000000001" customHeight="1" x14ac:dyDescent="0.35">
      <c r="A6" s="23" t="s">
        <v>185</v>
      </c>
      <c r="B6" s="46" t="s">
        <v>45</v>
      </c>
      <c r="C6" s="53"/>
      <c r="D6" s="53"/>
      <c r="E6" s="53"/>
      <c r="F6" s="54"/>
      <c r="G6" s="54"/>
      <c r="H6" s="54"/>
      <c r="I6" s="54"/>
      <c r="J6" s="54"/>
      <c r="K6" s="53"/>
      <c r="L6" s="53"/>
    </row>
    <row r="7" spans="1:12" x14ac:dyDescent="0.25">
      <c r="E7" s="6"/>
    </row>
    <row r="8" spans="1:12" ht="16.5" thickBot="1" x14ac:dyDescent="0.3">
      <c r="E8" s="4"/>
      <c r="F8" s="31">
        <v>2021</v>
      </c>
      <c r="G8" s="31">
        <v>2022</v>
      </c>
      <c r="H8" s="31">
        <v>2023</v>
      </c>
      <c r="I8" s="31">
        <v>2024</v>
      </c>
      <c r="J8" s="31">
        <v>2025</v>
      </c>
    </row>
    <row r="9" spans="1:12" x14ac:dyDescent="0.25">
      <c r="B9" s="10" t="s">
        <v>36</v>
      </c>
      <c r="E9" s="4"/>
      <c r="F9" s="25"/>
      <c r="G9" s="25"/>
      <c r="H9" s="25"/>
      <c r="I9" s="25"/>
      <c r="J9" s="25"/>
    </row>
    <row r="10" spans="1:12" x14ac:dyDescent="0.25">
      <c r="B10" s="18" t="s">
        <v>17</v>
      </c>
      <c r="E10" s="4"/>
      <c r="F10" s="29">
        <v>31708185</v>
      </c>
      <c r="G10" s="29">
        <v>56948734</v>
      </c>
      <c r="H10" s="29">
        <v>14864214</v>
      </c>
      <c r="I10" s="29">
        <v>10786068</v>
      </c>
      <c r="J10" s="29">
        <v>29121446</v>
      </c>
    </row>
    <row r="11" spans="1:12" x14ac:dyDescent="0.25">
      <c r="B11" s="18" t="s">
        <v>18</v>
      </c>
      <c r="E11" s="4"/>
      <c r="F11" s="29">
        <v>1053486</v>
      </c>
      <c r="G11" s="29">
        <v>1733130</v>
      </c>
      <c r="H11" s="29">
        <v>984418</v>
      </c>
      <c r="I11" s="29">
        <v>1481958</v>
      </c>
      <c r="J11" s="29">
        <v>1978860</v>
      </c>
    </row>
    <row r="12" spans="1:12" x14ac:dyDescent="0.25">
      <c r="B12" s="18" t="s">
        <v>19</v>
      </c>
      <c r="E12" s="5"/>
      <c r="F12" s="29">
        <v>1776496</v>
      </c>
      <c r="G12" s="29">
        <v>3195333</v>
      </c>
      <c r="H12" s="29">
        <v>5090589</v>
      </c>
      <c r="I12" s="29">
        <v>13730686</v>
      </c>
      <c r="J12" s="29">
        <v>13803515</v>
      </c>
    </row>
    <row r="13" spans="1:12" ht="16.5" thickBot="1" x14ac:dyDescent="0.3">
      <c r="B13" s="18" t="s">
        <v>20</v>
      </c>
      <c r="E13" s="4"/>
      <c r="F13" s="29">
        <v>7865825</v>
      </c>
      <c r="G13" s="29">
        <v>8085512</v>
      </c>
      <c r="H13" s="29">
        <v>9790531</v>
      </c>
      <c r="I13" s="29">
        <v>5524063</v>
      </c>
      <c r="J13" s="29">
        <v>6683735</v>
      </c>
    </row>
    <row r="14" spans="1:12" x14ac:dyDescent="0.25">
      <c r="B14" s="10" t="s">
        <v>16</v>
      </c>
      <c r="E14" s="5"/>
      <c r="F14" s="26">
        <f>SUM(F10:F13)</f>
        <v>42403992</v>
      </c>
      <c r="G14" s="26">
        <f t="shared" ref="G14:J14" si="0">SUM(G10:G13)</f>
        <v>69962709</v>
      </c>
      <c r="H14" s="26">
        <f t="shared" si="0"/>
        <v>30729752</v>
      </c>
      <c r="I14" s="26">
        <f t="shared" si="0"/>
        <v>31522775</v>
      </c>
      <c r="J14" s="26">
        <f t="shared" si="0"/>
        <v>51587556</v>
      </c>
    </row>
    <row r="16" spans="1:12" x14ac:dyDescent="0.25">
      <c r="B16" s="10" t="s">
        <v>34</v>
      </c>
    </row>
    <row r="17" spans="2:11" x14ac:dyDescent="0.25">
      <c r="B17" s="18" t="s">
        <v>21</v>
      </c>
      <c r="F17" s="29">
        <v>7897738</v>
      </c>
      <c r="G17" s="29">
        <v>7128631</v>
      </c>
      <c r="H17" s="29">
        <v>6405281</v>
      </c>
      <c r="I17" s="29">
        <v>7264824</v>
      </c>
      <c r="J17" s="29">
        <v>12518325</v>
      </c>
    </row>
    <row r="18" spans="2:11" x14ac:dyDescent="0.25">
      <c r="B18" s="18" t="s">
        <v>22</v>
      </c>
      <c r="F18" s="29">
        <v>726646</v>
      </c>
      <c r="G18" s="29">
        <v>2287763</v>
      </c>
      <c r="H18" s="29">
        <v>2459694</v>
      </c>
      <c r="I18" s="29">
        <v>2265190</v>
      </c>
      <c r="J18" s="29">
        <v>2362036</v>
      </c>
    </row>
    <row r="19" spans="2:11" x14ac:dyDescent="0.25">
      <c r="B19" s="18" t="s">
        <v>30</v>
      </c>
      <c r="F19" s="29">
        <v>40299</v>
      </c>
      <c r="G19" s="30">
        <v>9545</v>
      </c>
      <c r="H19" s="29">
        <v>0</v>
      </c>
      <c r="I19" s="29">
        <v>0</v>
      </c>
      <c r="J19" s="29">
        <v>0</v>
      </c>
    </row>
    <row r="20" spans="2:11" x14ac:dyDescent="0.25">
      <c r="B20" s="18" t="s">
        <v>27</v>
      </c>
      <c r="C20" s="11"/>
      <c r="E20" s="15"/>
      <c r="F20" s="29">
        <v>6627016</v>
      </c>
      <c r="G20" s="29">
        <v>6438511</v>
      </c>
      <c r="H20" s="29">
        <v>7685084</v>
      </c>
      <c r="I20" s="29">
        <v>10185119</v>
      </c>
      <c r="J20" s="29">
        <v>12170320</v>
      </c>
    </row>
    <row r="21" spans="2:11" x14ac:dyDescent="0.25">
      <c r="B21" s="18" t="s">
        <v>23</v>
      </c>
      <c r="C21" s="12"/>
      <c r="F21" s="29">
        <v>153058</v>
      </c>
      <c r="G21" s="29">
        <v>0</v>
      </c>
      <c r="H21" s="29">
        <v>0</v>
      </c>
      <c r="I21" s="29">
        <v>1450076</v>
      </c>
      <c r="J21" s="29">
        <v>3936669</v>
      </c>
    </row>
    <row r="22" spans="2:11" x14ac:dyDescent="0.25">
      <c r="B22" s="18" t="s">
        <v>29</v>
      </c>
      <c r="C22" s="12"/>
      <c r="F22" s="29">
        <v>-484902</v>
      </c>
      <c r="G22" s="29">
        <v>-221642</v>
      </c>
      <c r="H22" s="29">
        <v>1449871</v>
      </c>
      <c r="I22" s="29">
        <v>0</v>
      </c>
      <c r="J22" s="29">
        <v>19256530</v>
      </c>
      <c r="K22" s="2"/>
    </row>
    <row r="23" spans="2:11" x14ac:dyDescent="0.25">
      <c r="B23" s="18" t="s">
        <v>24</v>
      </c>
      <c r="C23" s="12"/>
      <c r="F23" s="29">
        <v>0</v>
      </c>
      <c r="G23" s="29">
        <v>0</v>
      </c>
      <c r="H23" s="29">
        <v>0</v>
      </c>
      <c r="I23" s="29">
        <v>0</v>
      </c>
      <c r="J23" s="29">
        <v>2947907</v>
      </c>
      <c r="K23" s="2"/>
    </row>
    <row r="24" spans="2:11" x14ac:dyDescent="0.25">
      <c r="B24" s="18"/>
      <c r="C24" s="12"/>
      <c r="K24" s="2"/>
    </row>
    <row r="25" spans="2:11" x14ac:dyDescent="0.25">
      <c r="B25" s="19" t="s">
        <v>35</v>
      </c>
      <c r="C25" s="12"/>
      <c r="K25" s="2"/>
    </row>
    <row r="26" spans="2:11" x14ac:dyDescent="0.25">
      <c r="B26" s="18" t="s">
        <v>25</v>
      </c>
      <c r="D26" s="10"/>
      <c r="E26" s="10"/>
      <c r="F26" s="29">
        <v>956084</v>
      </c>
      <c r="G26" s="29">
        <v>1021026</v>
      </c>
      <c r="H26" s="29">
        <v>1018262</v>
      </c>
      <c r="I26" s="29">
        <v>1244416</v>
      </c>
      <c r="J26" s="29">
        <v>1744917</v>
      </c>
    </row>
    <row r="27" spans="2:11" ht="16.5" thickBot="1" x14ac:dyDescent="0.3">
      <c r="B27" s="18" t="s">
        <v>26</v>
      </c>
      <c r="F27" s="29">
        <v>5875732</v>
      </c>
      <c r="G27" s="29">
        <v>6325412</v>
      </c>
      <c r="H27" s="29">
        <v>6293234</v>
      </c>
      <c r="I27" s="29">
        <v>5688714</v>
      </c>
      <c r="J27" s="29">
        <v>7168235</v>
      </c>
    </row>
    <row r="28" spans="2:11" x14ac:dyDescent="0.25">
      <c r="B28" s="19" t="s">
        <v>50</v>
      </c>
      <c r="C28" s="10"/>
      <c r="D28" s="10"/>
      <c r="E28" s="10"/>
      <c r="F28" s="26">
        <f>F26+F27</f>
        <v>6831816</v>
      </c>
      <c r="G28" s="26">
        <f t="shared" ref="G28:J28" si="1">G26+G27</f>
        <v>7346438</v>
      </c>
      <c r="H28" s="26">
        <f t="shared" si="1"/>
        <v>7311496</v>
      </c>
      <c r="I28" s="26">
        <f t="shared" si="1"/>
        <v>6933130</v>
      </c>
      <c r="J28" s="26">
        <f t="shared" si="1"/>
        <v>8913152</v>
      </c>
    </row>
    <row r="29" spans="2:11" ht="16.5" thickBot="1" x14ac:dyDescent="0.3">
      <c r="B29" s="19"/>
      <c r="C29" s="10"/>
      <c r="D29" s="10"/>
      <c r="E29" s="10"/>
      <c r="F29" s="27"/>
      <c r="G29" s="27"/>
      <c r="H29" s="27"/>
      <c r="I29" s="27"/>
      <c r="J29" s="27"/>
    </row>
    <row r="30" spans="2:11" x14ac:dyDescent="0.25">
      <c r="B30" s="10" t="s">
        <v>28</v>
      </c>
      <c r="F30" s="26">
        <f>SUM(F17:F27)</f>
        <v>21791671</v>
      </c>
      <c r="G30" s="26">
        <f>SUM(G17:G27)</f>
        <v>22989246</v>
      </c>
      <c r="H30" s="26">
        <f t="shared" ref="H30:J30" si="2">SUM(H17:H27)</f>
        <v>25311426</v>
      </c>
      <c r="I30" s="26">
        <f t="shared" si="2"/>
        <v>28098339</v>
      </c>
      <c r="J30" s="26">
        <f t="shared" si="2"/>
        <v>62104939</v>
      </c>
    </row>
    <row r="32" spans="2:11" x14ac:dyDescent="0.25">
      <c r="B32" s="10" t="s">
        <v>430</v>
      </c>
      <c r="F32" s="35">
        <f>F14-F30</f>
        <v>20612321</v>
      </c>
      <c r="G32" s="35">
        <f t="shared" ref="G32:I32" si="3">G14-G30</f>
        <v>46973463</v>
      </c>
      <c r="H32" s="35">
        <f t="shared" si="3"/>
        <v>5418326</v>
      </c>
      <c r="I32" s="35">
        <f t="shared" si="3"/>
        <v>3424436</v>
      </c>
      <c r="J32" s="35">
        <f>J14-J30</f>
        <v>-10517383</v>
      </c>
    </row>
    <row r="33" spans="2:11" x14ac:dyDescent="0.25">
      <c r="B33" s="10" t="s">
        <v>31</v>
      </c>
      <c r="D33" s="10"/>
      <c r="E33" s="10"/>
      <c r="F33" s="35">
        <f>F32+F20</f>
        <v>27239337</v>
      </c>
      <c r="G33" s="35">
        <f t="shared" ref="G33:I33" si="4">G32+G20</f>
        <v>53411974</v>
      </c>
      <c r="H33" s="35">
        <f t="shared" si="4"/>
        <v>13103410</v>
      </c>
      <c r="I33" s="35">
        <f t="shared" si="4"/>
        <v>13609555</v>
      </c>
      <c r="J33" s="35">
        <f>J32+J20</f>
        <v>1652937</v>
      </c>
    </row>
    <row r="34" spans="2:11" x14ac:dyDescent="0.25">
      <c r="B34" s="10" t="s">
        <v>32</v>
      </c>
      <c r="F34" s="35">
        <f>F33+F19</f>
        <v>27279636</v>
      </c>
      <c r="G34" s="35">
        <f t="shared" ref="G34:I34" si="5">G33+G19</f>
        <v>53421519</v>
      </c>
      <c r="H34" s="35">
        <f t="shared" si="5"/>
        <v>13103410</v>
      </c>
      <c r="I34" s="35">
        <f t="shared" si="5"/>
        <v>13609555</v>
      </c>
      <c r="J34" s="35">
        <f>J33+J19</f>
        <v>1652937</v>
      </c>
    </row>
    <row r="35" spans="2:11" x14ac:dyDescent="0.25">
      <c r="B35" s="10" t="s">
        <v>33</v>
      </c>
      <c r="F35" s="35">
        <f>F33+F22+F21+F23+F19</f>
        <v>26947792</v>
      </c>
      <c r="G35" s="35">
        <f t="shared" ref="G35:J35" si="6">G33+G22+G21+G23+G19</f>
        <v>53199877</v>
      </c>
      <c r="H35" s="35">
        <f t="shared" si="6"/>
        <v>14553281</v>
      </c>
      <c r="I35" s="35">
        <f t="shared" si="6"/>
        <v>15059631</v>
      </c>
      <c r="J35" s="35">
        <f t="shared" si="6"/>
        <v>27794043</v>
      </c>
    </row>
    <row r="36" spans="2:11" x14ac:dyDescent="0.25">
      <c r="K36" s="15"/>
    </row>
    <row r="37" spans="2:11" x14ac:dyDescent="0.25">
      <c r="B37" s="10" t="s">
        <v>37</v>
      </c>
      <c r="K37" s="15"/>
    </row>
    <row r="38" spans="2:11" x14ac:dyDescent="0.25">
      <c r="B38" s="18" t="s">
        <v>38</v>
      </c>
      <c r="F38" s="29">
        <v>38865</v>
      </c>
      <c r="G38" s="29">
        <v>452877</v>
      </c>
      <c r="H38" s="29">
        <v>1673241</v>
      </c>
      <c r="I38" s="29">
        <v>493277</v>
      </c>
      <c r="J38" s="29">
        <v>188369</v>
      </c>
      <c r="K38" s="15"/>
    </row>
    <row r="39" spans="2:11" x14ac:dyDescent="0.25">
      <c r="B39" s="18" t="s">
        <v>39</v>
      </c>
      <c r="C39" s="10"/>
      <c r="F39" s="29">
        <v>-101382</v>
      </c>
      <c r="G39" s="29">
        <v>-50782</v>
      </c>
      <c r="H39" s="29">
        <v>-80379</v>
      </c>
      <c r="I39" s="29">
        <v>-46400</v>
      </c>
      <c r="J39" s="29">
        <v>-624160</v>
      </c>
      <c r="K39" s="15"/>
    </row>
    <row r="40" spans="2:11" x14ac:dyDescent="0.25">
      <c r="B40" s="18" t="s">
        <v>40</v>
      </c>
      <c r="F40" s="29">
        <v>-4482909</v>
      </c>
      <c r="G40" s="29">
        <v>236077</v>
      </c>
      <c r="H40" s="29">
        <v>3130055</v>
      </c>
      <c r="I40" s="29">
        <v>-391147</v>
      </c>
      <c r="J40" s="29">
        <v>5500486</v>
      </c>
    </row>
    <row r="41" spans="2:11" ht="16.5" thickBot="1" x14ac:dyDescent="0.3">
      <c r="B41" s="18" t="s">
        <v>41</v>
      </c>
      <c r="F41" s="29">
        <v>1130</v>
      </c>
      <c r="G41" s="29">
        <v>-99469</v>
      </c>
      <c r="H41" s="29">
        <v>4357</v>
      </c>
      <c r="I41" s="29">
        <v>76727</v>
      </c>
      <c r="J41" s="29">
        <v>16556</v>
      </c>
    </row>
    <row r="42" spans="2:11" x14ac:dyDescent="0.25">
      <c r="B42" s="10" t="s">
        <v>210</v>
      </c>
      <c r="F42" s="26">
        <f>SUM(F38:F41)</f>
        <v>-4544296</v>
      </c>
      <c r="G42" s="26">
        <f t="shared" ref="G42:J42" si="7">SUM(G38:G41)</f>
        <v>538703</v>
      </c>
      <c r="H42" s="26">
        <f t="shared" si="7"/>
        <v>4727274</v>
      </c>
      <c r="I42" s="26">
        <f t="shared" si="7"/>
        <v>132457</v>
      </c>
      <c r="J42" s="26">
        <f t="shared" si="7"/>
        <v>5081251</v>
      </c>
    </row>
    <row r="43" spans="2:11" x14ac:dyDescent="0.25">
      <c r="B43" s="10" t="s">
        <v>51</v>
      </c>
      <c r="D43" s="10"/>
      <c r="E43" s="10"/>
      <c r="F43" s="35">
        <f>F42+F32</f>
        <v>16068025</v>
      </c>
      <c r="G43" s="35">
        <f t="shared" ref="G43:J43" si="8">G42+G32</f>
        <v>47512166</v>
      </c>
      <c r="H43" s="35">
        <f t="shared" si="8"/>
        <v>10145600</v>
      </c>
      <c r="I43" s="35">
        <f t="shared" si="8"/>
        <v>3556893</v>
      </c>
      <c r="J43" s="35">
        <f t="shared" si="8"/>
        <v>-5436132</v>
      </c>
    </row>
    <row r="44" spans="2:11" x14ac:dyDescent="0.25">
      <c r="B44" s="10"/>
      <c r="D44" s="10"/>
      <c r="E44" s="10"/>
      <c r="F44" s="27"/>
      <c r="G44" s="27"/>
      <c r="H44" s="27"/>
      <c r="I44" s="27"/>
      <c r="J44" s="27"/>
    </row>
    <row r="45" spans="2:11" ht="16.5" thickBot="1" x14ac:dyDescent="0.3">
      <c r="B45" s="18" t="s">
        <v>42</v>
      </c>
      <c r="D45" s="10"/>
      <c r="E45" s="10"/>
      <c r="F45" s="30">
        <v>4440508</v>
      </c>
      <c r="G45" s="29">
        <v>12157487</v>
      </c>
      <c r="H45" s="29">
        <v>3200447</v>
      </c>
      <c r="I45" s="29">
        <v>1629093</v>
      </c>
      <c r="J45" s="29">
        <v>362731</v>
      </c>
    </row>
    <row r="46" spans="2:11" x14ac:dyDescent="0.25">
      <c r="B46" s="10" t="s">
        <v>43</v>
      </c>
      <c r="F46" s="34">
        <f>F43-F45</f>
        <v>11627517</v>
      </c>
      <c r="G46" s="34">
        <f t="shared" ref="G46:J46" si="9">G43-G45</f>
        <v>35354679</v>
      </c>
      <c r="H46" s="34">
        <f t="shared" si="9"/>
        <v>6945153</v>
      </c>
      <c r="I46" s="34">
        <f t="shared" si="9"/>
        <v>1927800</v>
      </c>
      <c r="J46" s="34">
        <f t="shared" si="9"/>
        <v>-5798863</v>
      </c>
    </row>
    <row r="47" spans="2:11" x14ac:dyDescent="0.25">
      <c r="E47" s="15"/>
    </row>
    <row r="48" spans="2:11" x14ac:dyDescent="0.25">
      <c r="B48" s="18" t="s">
        <v>47</v>
      </c>
      <c r="F48" s="29">
        <v>-2042</v>
      </c>
      <c r="G48" s="29">
        <v>-44054</v>
      </c>
      <c r="H48" s="29">
        <v>-3872</v>
      </c>
      <c r="I48" s="29">
        <v>262588</v>
      </c>
      <c r="J48" s="29">
        <v>-136700</v>
      </c>
    </row>
    <row r="49" spans="1:12" ht="16.5" thickBot="1" x14ac:dyDescent="0.3">
      <c r="B49" s="18" t="s">
        <v>48</v>
      </c>
      <c r="F49" s="29">
        <v>0</v>
      </c>
      <c r="G49" s="29">
        <v>0</v>
      </c>
      <c r="H49" s="29">
        <v>1598</v>
      </c>
      <c r="I49" s="29">
        <v>-1598</v>
      </c>
      <c r="J49" s="29">
        <v>0</v>
      </c>
    </row>
    <row r="50" spans="1:12" x14ac:dyDescent="0.25">
      <c r="B50" s="10" t="s">
        <v>49</v>
      </c>
      <c r="F50" s="34">
        <f>F46+SUM(F48:F49)</f>
        <v>11625475</v>
      </c>
      <c r="G50" s="34">
        <f>G46+SUM(G48:G49)</f>
        <v>35310625</v>
      </c>
      <c r="H50" s="34">
        <f>H46+SUM(H48:H49)</f>
        <v>6942879</v>
      </c>
      <c r="I50" s="34">
        <f>I46+SUM(I48:I49)</f>
        <v>2188790</v>
      </c>
      <c r="J50" s="34">
        <f>J46+SUM(J48:J49)</f>
        <v>-5935563</v>
      </c>
      <c r="K50" s="10"/>
    </row>
    <row r="51" spans="1:12" x14ac:dyDescent="0.25">
      <c r="B51" s="10"/>
      <c r="F51" s="25"/>
      <c r="G51" s="25"/>
      <c r="H51" s="25"/>
      <c r="I51" s="25"/>
      <c r="J51" s="25"/>
      <c r="K51" s="10"/>
    </row>
    <row r="52" spans="1:12" x14ac:dyDescent="0.25">
      <c r="K52" s="15"/>
    </row>
    <row r="53" spans="1:12" s="23" customFormat="1" ht="23.25" x14ac:dyDescent="0.35">
      <c r="A53" s="23" t="s">
        <v>185</v>
      </c>
      <c r="B53" s="46" t="s">
        <v>46</v>
      </c>
      <c r="C53" s="53"/>
      <c r="D53" s="53"/>
      <c r="E53" s="53"/>
      <c r="F53" s="54"/>
      <c r="G53" s="54"/>
      <c r="H53" s="54"/>
      <c r="I53" s="54"/>
      <c r="J53" s="54"/>
      <c r="K53" s="53"/>
      <c r="L53" s="53"/>
    </row>
    <row r="54" spans="1:12" x14ac:dyDescent="0.25">
      <c r="K54" s="15"/>
    </row>
    <row r="55" spans="1:12" ht="16.5" thickBot="1" x14ac:dyDescent="0.3">
      <c r="B55" s="16"/>
      <c r="C55" s="16"/>
      <c r="D55" s="16"/>
      <c r="E55" s="16"/>
      <c r="F55" s="31">
        <v>2021</v>
      </c>
      <c r="G55" s="31">
        <f>F55+1</f>
        <v>2022</v>
      </c>
      <c r="H55" s="31">
        <f t="shared" ref="H55:J55" si="10">G55+1</f>
        <v>2023</v>
      </c>
      <c r="I55" s="31">
        <f t="shared" si="10"/>
        <v>2024</v>
      </c>
      <c r="J55" s="31">
        <f t="shared" si="10"/>
        <v>2025</v>
      </c>
      <c r="K55" s="15"/>
    </row>
    <row r="56" spans="1:12" x14ac:dyDescent="0.25">
      <c r="B56" s="16"/>
      <c r="C56" s="16"/>
      <c r="D56" s="16"/>
      <c r="E56" s="16"/>
      <c r="F56" s="27"/>
      <c r="G56" s="27"/>
      <c r="H56" s="27"/>
      <c r="I56" s="27"/>
      <c r="J56" s="27"/>
      <c r="K56" s="15"/>
    </row>
    <row r="57" spans="1:12" x14ac:dyDescent="0.25">
      <c r="B57" s="17" t="s">
        <v>43</v>
      </c>
      <c r="C57" s="17"/>
      <c r="D57" s="17"/>
      <c r="E57" s="17"/>
      <c r="F57" s="27">
        <f>F46</f>
        <v>11627517</v>
      </c>
      <c r="G57" s="27">
        <f>G46</f>
        <v>35354679</v>
      </c>
      <c r="H57" s="27">
        <f>H46</f>
        <v>6945153</v>
      </c>
      <c r="I57" s="27">
        <f>I46</f>
        <v>1927800</v>
      </c>
      <c r="J57" s="27">
        <f>J46</f>
        <v>-5798863</v>
      </c>
      <c r="K57" s="15"/>
    </row>
    <row r="58" spans="1:12" x14ac:dyDescent="0.25">
      <c r="B58" s="16"/>
      <c r="C58" s="16"/>
      <c r="D58" s="16"/>
      <c r="E58" s="16"/>
      <c r="K58" s="15"/>
    </row>
    <row r="59" spans="1:12" x14ac:dyDescent="0.25">
      <c r="B59" s="17" t="s">
        <v>53</v>
      </c>
      <c r="C59" s="16"/>
      <c r="D59" s="16"/>
      <c r="E59" s="16"/>
      <c r="K59" s="15"/>
    </row>
    <row r="60" spans="1:12" x14ac:dyDescent="0.25">
      <c r="B60" s="21" t="s">
        <v>27</v>
      </c>
      <c r="C60" s="16"/>
      <c r="D60" s="16"/>
      <c r="E60" s="16"/>
      <c r="F60" s="29">
        <v>6627016</v>
      </c>
      <c r="G60" s="29">
        <v>6438511</v>
      </c>
      <c r="H60" s="29">
        <v>7685084</v>
      </c>
      <c r="I60" s="29">
        <v>10185119</v>
      </c>
      <c r="J60" s="29">
        <v>12170320</v>
      </c>
    </row>
    <row r="61" spans="1:12" x14ac:dyDescent="0.25">
      <c r="B61" s="21" t="s">
        <v>52</v>
      </c>
      <c r="C61" s="17"/>
      <c r="D61" s="17"/>
      <c r="E61" s="16"/>
      <c r="F61" s="29">
        <v>153058</v>
      </c>
      <c r="G61" s="29">
        <v>0</v>
      </c>
      <c r="H61" s="29">
        <v>0</v>
      </c>
      <c r="I61" s="29">
        <v>1450076</v>
      </c>
      <c r="J61" s="29">
        <v>3936669</v>
      </c>
    </row>
    <row r="62" spans="1:12" x14ac:dyDescent="0.25">
      <c r="B62" s="21" t="s">
        <v>54</v>
      </c>
      <c r="C62" s="16"/>
      <c r="D62" s="16"/>
      <c r="E62" s="16"/>
      <c r="F62" s="29">
        <v>-484902</v>
      </c>
      <c r="G62" s="29">
        <v>-221642</v>
      </c>
      <c r="H62" s="29">
        <v>1449871</v>
      </c>
      <c r="I62" s="29">
        <v>0</v>
      </c>
      <c r="J62" s="29">
        <v>19256530</v>
      </c>
    </row>
    <row r="63" spans="1:12" x14ac:dyDescent="0.25">
      <c r="B63" s="21" t="s">
        <v>55</v>
      </c>
      <c r="C63" s="16"/>
      <c r="D63" s="16"/>
      <c r="E63" s="16"/>
      <c r="F63" s="29">
        <v>4482909</v>
      </c>
      <c r="G63" s="29">
        <v>-236077</v>
      </c>
      <c r="H63" s="29">
        <v>-3130055</v>
      </c>
      <c r="I63" s="29">
        <v>391147</v>
      </c>
      <c r="J63" s="29">
        <v>-5500486</v>
      </c>
    </row>
    <row r="64" spans="1:12" x14ac:dyDescent="0.25">
      <c r="B64" s="21" t="s">
        <v>56</v>
      </c>
      <c r="C64" s="16"/>
      <c r="D64" s="16"/>
      <c r="E64" s="16"/>
      <c r="F64" s="29">
        <v>-4243085</v>
      </c>
      <c r="G64" s="29">
        <v>-1225837</v>
      </c>
      <c r="H64" s="29">
        <v>3251890</v>
      </c>
      <c r="I64" s="29">
        <v>1196656</v>
      </c>
      <c r="J64" s="29">
        <v>1163662</v>
      </c>
    </row>
    <row r="65" spans="2:15" x14ac:dyDescent="0.25">
      <c r="B65" s="21" t="s">
        <v>57</v>
      </c>
      <c r="C65" s="16"/>
      <c r="D65" s="16"/>
      <c r="E65" s="16"/>
      <c r="F65" s="29">
        <v>956084</v>
      </c>
      <c r="G65" s="29">
        <v>1021026</v>
      </c>
      <c r="H65" s="29">
        <v>1018262</v>
      </c>
      <c r="I65" s="29">
        <v>1244416</v>
      </c>
      <c r="J65" s="29">
        <v>1744917</v>
      </c>
    </row>
    <row r="66" spans="2:15" x14ac:dyDescent="0.25">
      <c r="B66" s="21" t="s">
        <v>58</v>
      </c>
      <c r="C66" s="16"/>
      <c r="D66" s="16"/>
      <c r="E66" s="16"/>
      <c r="F66" s="29">
        <v>-197412</v>
      </c>
      <c r="G66" s="29">
        <v>711954</v>
      </c>
      <c r="H66" s="29">
        <v>936549</v>
      </c>
      <c r="I66" s="29">
        <v>1184634</v>
      </c>
      <c r="J66" s="29">
        <v>117008</v>
      </c>
    </row>
    <row r="67" spans="2:15" x14ac:dyDescent="0.25">
      <c r="B67" s="21" t="s">
        <v>59</v>
      </c>
      <c r="C67" s="16"/>
      <c r="D67" s="16"/>
      <c r="E67" s="16"/>
      <c r="F67" s="29">
        <v>0</v>
      </c>
      <c r="G67" s="29">
        <v>-118260</v>
      </c>
      <c r="H67" s="29">
        <v>-1346330</v>
      </c>
      <c r="I67" s="29">
        <v>-386629</v>
      </c>
      <c r="J67" s="29">
        <v>42910</v>
      </c>
    </row>
    <row r="68" spans="2:15" x14ac:dyDescent="0.25">
      <c r="B68" s="21" t="s">
        <v>60</v>
      </c>
      <c r="C68" s="16"/>
      <c r="D68" s="16"/>
      <c r="E68" s="16"/>
      <c r="F68" s="29">
        <v>0</v>
      </c>
      <c r="G68" s="29">
        <v>0</v>
      </c>
      <c r="H68" s="29">
        <v>0</v>
      </c>
      <c r="I68" s="29">
        <v>0</v>
      </c>
      <c r="J68" s="29">
        <v>0</v>
      </c>
    </row>
    <row r="69" spans="2:15" x14ac:dyDescent="0.25">
      <c r="B69" s="21"/>
      <c r="C69" s="16"/>
      <c r="D69" s="16"/>
      <c r="E69" s="16"/>
    </row>
    <row r="70" spans="2:15" x14ac:dyDescent="0.25">
      <c r="B70" s="28" t="s">
        <v>61</v>
      </c>
      <c r="C70" s="16"/>
      <c r="D70" s="16"/>
      <c r="E70" s="16"/>
    </row>
    <row r="71" spans="2:15" x14ac:dyDescent="0.25">
      <c r="B71" s="21" t="s">
        <v>62</v>
      </c>
      <c r="C71" s="16"/>
      <c r="D71" s="16"/>
      <c r="E71" s="16"/>
      <c r="F71" s="29">
        <v>-679643</v>
      </c>
      <c r="G71" s="29">
        <v>-2604455</v>
      </c>
      <c r="H71" s="29">
        <v>1185938</v>
      </c>
      <c r="I71" s="29">
        <v>171726</v>
      </c>
      <c r="J71" s="29">
        <v>-1588383</v>
      </c>
    </row>
    <row r="72" spans="2:15" x14ac:dyDescent="0.25">
      <c r="B72" s="21" t="s">
        <v>63</v>
      </c>
      <c r="C72" s="16"/>
      <c r="D72" s="16"/>
      <c r="E72" s="16"/>
      <c r="F72" s="29">
        <v>20000</v>
      </c>
      <c r="G72" s="29">
        <v>0</v>
      </c>
      <c r="H72" s="29">
        <v>187793</v>
      </c>
      <c r="I72" s="29">
        <v>-23662</v>
      </c>
      <c r="J72" s="29">
        <v>-1973348</v>
      </c>
    </row>
    <row r="73" spans="2:15" x14ac:dyDescent="0.25">
      <c r="B73" s="21" t="s">
        <v>64</v>
      </c>
      <c r="C73" s="16"/>
      <c r="D73" s="16"/>
      <c r="E73" s="16"/>
      <c r="F73" s="29">
        <v>0</v>
      </c>
      <c r="G73" s="29">
        <v>-58368</v>
      </c>
      <c r="H73" s="29">
        <v>126347</v>
      </c>
      <c r="I73" s="29">
        <v>-17828</v>
      </c>
      <c r="J73" s="29">
        <v>-10365</v>
      </c>
    </row>
    <row r="74" spans="2:15" x14ac:dyDescent="0.25">
      <c r="B74" s="21" t="s">
        <v>65</v>
      </c>
      <c r="C74" s="16"/>
      <c r="D74" s="16"/>
      <c r="E74" s="16"/>
      <c r="F74" s="29">
        <v>646410</v>
      </c>
      <c r="G74" s="29">
        <v>1182348</v>
      </c>
      <c r="H74" s="29">
        <v>-122203</v>
      </c>
      <c r="I74" s="29">
        <v>-493176</v>
      </c>
      <c r="J74" s="29">
        <v>-2940888</v>
      </c>
    </row>
    <row r="75" spans="2:15" x14ac:dyDescent="0.25">
      <c r="B75" s="21" t="s">
        <v>66</v>
      </c>
      <c r="C75" s="16"/>
      <c r="D75" s="16"/>
      <c r="E75" s="16"/>
      <c r="F75" s="29">
        <v>1098425</v>
      </c>
      <c r="G75" s="29">
        <v>-2238519</v>
      </c>
      <c r="H75" s="29">
        <v>0</v>
      </c>
      <c r="I75" s="29">
        <v>0</v>
      </c>
      <c r="J75" s="29">
        <v>0</v>
      </c>
    </row>
    <row r="76" spans="2:15" ht="16.5" thickBot="1" x14ac:dyDescent="0.3"/>
    <row r="77" spans="2:15" x14ac:dyDescent="0.25">
      <c r="B77" s="10" t="s">
        <v>67</v>
      </c>
      <c r="C77" s="10"/>
      <c r="D77" s="10"/>
      <c r="E77" s="10"/>
      <c r="F77" s="34">
        <f>SUM(F57:F75)</f>
        <v>20006377</v>
      </c>
      <c r="G77" s="34">
        <f t="shared" ref="G77:J77" si="11">SUM(G57:G75)</f>
        <v>38005360</v>
      </c>
      <c r="H77" s="34">
        <f t="shared" si="11"/>
        <v>18188299</v>
      </c>
      <c r="I77" s="34">
        <f t="shared" si="11"/>
        <v>16830279</v>
      </c>
      <c r="J77" s="34">
        <f t="shared" si="11"/>
        <v>20619683</v>
      </c>
    </row>
    <row r="78" spans="2:15" x14ac:dyDescent="0.25">
      <c r="K78" s="15"/>
      <c r="L78" s="13"/>
      <c r="N78" s="14"/>
    </row>
    <row r="79" spans="2:15" x14ac:dyDescent="0.25">
      <c r="K79" s="15"/>
      <c r="L79" s="13"/>
      <c r="N79" s="14"/>
    </row>
    <row r="80" spans="2:15" x14ac:dyDescent="0.25">
      <c r="B80" s="10" t="s">
        <v>68</v>
      </c>
      <c r="K80" s="15"/>
      <c r="N80" s="15"/>
      <c r="O80" s="15"/>
    </row>
    <row r="81" spans="2:15" x14ac:dyDescent="0.25">
      <c r="B81" s="10"/>
      <c r="K81" s="15"/>
      <c r="N81" s="15"/>
      <c r="O81" s="15"/>
    </row>
    <row r="82" spans="2:15" x14ac:dyDescent="0.25">
      <c r="B82" s="19" t="s">
        <v>79</v>
      </c>
      <c r="K82" s="15"/>
      <c r="N82" s="15"/>
      <c r="O82" s="15"/>
    </row>
    <row r="83" spans="2:15" x14ac:dyDescent="0.25">
      <c r="B83" s="18" t="s">
        <v>69</v>
      </c>
      <c r="E83" s="15"/>
      <c r="F83" s="29">
        <v>-148862</v>
      </c>
      <c r="G83" s="29">
        <v>-310211</v>
      </c>
      <c r="H83" s="29">
        <v>-8136442</v>
      </c>
      <c r="I83" s="29">
        <v>-4507280</v>
      </c>
      <c r="J83" s="29">
        <v>-6999905</v>
      </c>
      <c r="K83" s="15"/>
    </row>
    <row r="84" spans="2:15" x14ac:dyDescent="0.25">
      <c r="B84" s="18" t="s">
        <v>70</v>
      </c>
      <c r="F84" s="29">
        <v>-4435945</v>
      </c>
      <c r="G84" s="29">
        <v>-7562502</v>
      </c>
      <c r="H84" s="29">
        <v>-10377642</v>
      </c>
      <c r="I84" s="29">
        <v>-31695651</v>
      </c>
      <c r="J84" s="29">
        <v>-7929773</v>
      </c>
      <c r="K84" s="15"/>
    </row>
    <row r="85" spans="2:15" ht="16.5" thickBot="1" x14ac:dyDescent="0.3">
      <c r="B85" s="18" t="s">
        <v>71</v>
      </c>
      <c r="E85" s="15"/>
      <c r="F85" s="29">
        <v>379</v>
      </c>
      <c r="G85" s="29">
        <v>0</v>
      </c>
      <c r="H85" s="29">
        <v>-1813808</v>
      </c>
      <c r="I85" s="29">
        <v>831091</v>
      </c>
      <c r="J85" s="29">
        <v>736497</v>
      </c>
    </row>
    <row r="86" spans="2:15" x14ac:dyDescent="0.25">
      <c r="B86" s="19" t="s">
        <v>83</v>
      </c>
      <c r="E86" s="15"/>
      <c r="F86" s="26">
        <f>SUM(F83:F85)</f>
        <v>-4584428</v>
      </c>
      <c r="G86" s="26">
        <f t="shared" ref="G86:J86" si="12">SUM(G83:G85)</f>
        <v>-7872713</v>
      </c>
      <c r="H86" s="26">
        <f t="shared" si="12"/>
        <v>-20327892</v>
      </c>
      <c r="I86" s="26">
        <f t="shared" si="12"/>
        <v>-35371840</v>
      </c>
      <c r="J86" s="26">
        <f t="shared" si="12"/>
        <v>-14193181</v>
      </c>
    </row>
    <row r="87" spans="2:15" x14ac:dyDescent="0.25">
      <c r="B87" s="18"/>
      <c r="E87" s="15"/>
    </row>
    <row r="88" spans="2:15" x14ac:dyDescent="0.25">
      <c r="B88" s="19" t="s">
        <v>80</v>
      </c>
      <c r="E88" s="15"/>
      <c r="K88" s="15"/>
    </row>
    <row r="89" spans="2:15" x14ac:dyDescent="0.25">
      <c r="B89" s="18" t="s">
        <v>72</v>
      </c>
      <c r="E89" s="15"/>
      <c r="F89" s="29">
        <v>-297841</v>
      </c>
      <c r="G89" s="29">
        <v>-184032</v>
      </c>
      <c r="H89" s="29">
        <v>-82302</v>
      </c>
      <c r="I89" s="29">
        <v>-341452</v>
      </c>
      <c r="J89" s="29">
        <v>-465203</v>
      </c>
      <c r="K89" s="15"/>
    </row>
    <row r="90" spans="2:15" ht="16.5" thickBot="1" x14ac:dyDescent="0.3">
      <c r="B90" s="18" t="s">
        <v>73</v>
      </c>
      <c r="F90" s="29">
        <v>-5745</v>
      </c>
      <c r="G90" s="29">
        <v>-13258</v>
      </c>
      <c r="H90" s="29">
        <v>-49689</v>
      </c>
      <c r="I90" s="29">
        <v>-16513</v>
      </c>
      <c r="J90" s="29">
        <v>270488</v>
      </c>
      <c r="K90" s="15"/>
    </row>
    <row r="91" spans="2:15" x14ac:dyDescent="0.25">
      <c r="B91" s="19" t="s">
        <v>84</v>
      </c>
      <c r="F91" s="26">
        <f>SUM(F89:F90)</f>
        <v>-303586</v>
      </c>
      <c r="G91" s="26">
        <f t="shared" ref="G91:J91" si="13">SUM(G89:G90)</f>
        <v>-197290</v>
      </c>
      <c r="H91" s="26">
        <f t="shared" si="13"/>
        <v>-131991</v>
      </c>
      <c r="I91" s="26">
        <f t="shared" si="13"/>
        <v>-357965</v>
      </c>
      <c r="J91" s="26">
        <f t="shared" si="13"/>
        <v>-194715</v>
      </c>
      <c r="K91" s="15"/>
    </row>
    <row r="92" spans="2:15" ht="16.5" thickBot="1" x14ac:dyDescent="0.3">
      <c r="B92" s="19"/>
      <c r="F92" s="27"/>
      <c r="G92" s="27"/>
      <c r="H92" s="27"/>
      <c r="I92" s="27"/>
      <c r="J92" s="27"/>
      <c r="K92" s="15"/>
    </row>
    <row r="93" spans="2:15" x14ac:dyDescent="0.25">
      <c r="B93" s="19" t="s">
        <v>85</v>
      </c>
      <c r="F93" s="34">
        <f>F86+F91</f>
        <v>-4888014</v>
      </c>
      <c r="G93" s="34">
        <f t="shared" ref="G93:J93" si="14">G86+G91</f>
        <v>-8070003</v>
      </c>
      <c r="H93" s="34">
        <f t="shared" si="14"/>
        <v>-20459883</v>
      </c>
      <c r="I93" s="34">
        <f t="shared" si="14"/>
        <v>-35729805</v>
      </c>
      <c r="J93" s="34">
        <f t="shared" si="14"/>
        <v>-14387896</v>
      </c>
      <c r="K93" s="15"/>
    </row>
    <row r="94" spans="2:15" ht="16.5" thickBot="1" x14ac:dyDescent="0.3">
      <c r="B94" s="18"/>
      <c r="K94" s="15"/>
    </row>
    <row r="95" spans="2:15" x14ac:dyDescent="0.25">
      <c r="B95" s="19" t="s">
        <v>270</v>
      </c>
      <c r="F95" s="34">
        <f>F77+F93</f>
        <v>15118363</v>
      </c>
      <c r="G95" s="34">
        <f t="shared" ref="G95:J95" si="15">G77+G93</f>
        <v>29935357</v>
      </c>
      <c r="H95" s="34">
        <f t="shared" si="15"/>
        <v>-2271584</v>
      </c>
      <c r="I95" s="34">
        <f t="shared" si="15"/>
        <v>-18899526</v>
      </c>
      <c r="J95" s="34">
        <f t="shared" si="15"/>
        <v>6231787</v>
      </c>
      <c r="K95" s="15"/>
    </row>
    <row r="96" spans="2:15" x14ac:dyDescent="0.25">
      <c r="B96" s="18"/>
      <c r="K96" s="15"/>
    </row>
    <row r="97" spans="2:11" x14ac:dyDescent="0.25">
      <c r="B97" s="19" t="s">
        <v>82</v>
      </c>
      <c r="E97" s="15"/>
      <c r="K97" s="15"/>
    </row>
    <row r="98" spans="2:11" x14ac:dyDescent="0.25">
      <c r="B98" s="18" t="s">
        <v>74</v>
      </c>
      <c r="F98" s="29">
        <v>0</v>
      </c>
      <c r="G98" s="29">
        <v>0</v>
      </c>
      <c r="H98" s="29">
        <v>0</v>
      </c>
      <c r="I98" s="29">
        <v>0</v>
      </c>
      <c r="J98" s="29">
        <v>-49754846</v>
      </c>
      <c r="K98" s="15"/>
    </row>
    <row r="99" spans="2:11" x14ac:dyDescent="0.25">
      <c r="B99" s="18" t="s">
        <v>75</v>
      </c>
      <c r="E99" s="15"/>
      <c r="F99" s="29">
        <v>450000</v>
      </c>
      <c r="G99" s="29">
        <v>200000</v>
      </c>
      <c r="H99" s="29">
        <v>12498</v>
      </c>
      <c r="I99" s="29">
        <v>0</v>
      </c>
      <c r="J99" s="29">
        <v>2500000</v>
      </c>
    </row>
    <row r="100" spans="2:11" x14ac:dyDescent="0.25">
      <c r="B100" s="18"/>
      <c r="E100" s="15"/>
    </row>
    <row r="101" spans="2:11" x14ac:dyDescent="0.25">
      <c r="B101" s="19" t="s">
        <v>81</v>
      </c>
      <c r="E101" s="15"/>
      <c r="K101" s="15"/>
    </row>
    <row r="102" spans="2:11" x14ac:dyDescent="0.25">
      <c r="B102" s="18" t="s">
        <v>76</v>
      </c>
      <c r="F102" s="29">
        <v>0</v>
      </c>
      <c r="G102" s="29">
        <v>0</v>
      </c>
      <c r="H102" s="29">
        <v>-44801956</v>
      </c>
      <c r="I102" s="29">
        <v>-4045785</v>
      </c>
      <c r="J102" s="29">
        <v>0</v>
      </c>
      <c r="K102" s="15"/>
    </row>
    <row r="103" spans="2:11" x14ac:dyDescent="0.25">
      <c r="B103" s="18" t="s">
        <v>77</v>
      </c>
      <c r="E103" s="15"/>
      <c r="F103" s="29">
        <v>0</v>
      </c>
      <c r="G103" s="29">
        <v>0</v>
      </c>
      <c r="H103" s="29">
        <v>26864976</v>
      </c>
      <c r="I103" s="29">
        <v>23116930</v>
      </c>
      <c r="J103" s="29">
        <v>0</v>
      </c>
      <c r="K103" s="15"/>
    </row>
    <row r="104" spans="2:11" ht="16.5" thickBot="1" x14ac:dyDescent="0.3">
      <c r="E104" s="15"/>
      <c r="K104" s="15"/>
    </row>
    <row r="105" spans="2:11" x14ac:dyDescent="0.25">
      <c r="B105" s="10" t="s">
        <v>78</v>
      </c>
      <c r="C105" s="10"/>
      <c r="D105" s="10"/>
      <c r="E105" s="22"/>
      <c r="F105" s="26">
        <f>F93+SUM(F98:F103)</f>
        <v>-4438014</v>
      </c>
      <c r="G105" s="26">
        <f>G93+SUM(G98:G103)</f>
        <v>-7870003</v>
      </c>
      <c r="H105" s="26">
        <f>H93+SUM(H98:H103)</f>
        <v>-38384365</v>
      </c>
      <c r="I105" s="26">
        <f>I93+SUM(I98:I103)</f>
        <v>-16658660</v>
      </c>
      <c r="J105" s="26">
        <f>J93+SUM(J98:J103)</f>
        <v>-61642742</v>
      </c>
      <c r="K105" s="15"/>
    </row>
    <row r="106" spans="2:11" x14ac:dyDescent="0.25">
      <c r="E106" s="15"/>
      <c r="K106" s="15"/>
    </row>
    <row r="107" spans="2:11" x14ac:dyDescent="0.25">
      <c r="B107" s="10" t="s">
        <v>86</v>
      </c>
      <c r="C107" s="10"/>
      <c r="D107" s="10"/>
      <c r="F107" s="27"/>
      <c r="G107" s="27"/>
    </row>
    <row r="108" spans="2:11" x14ac:dyDescent="0.25">
      <c r="E108" s="15"/>
    </row>
    <row r="109" spans="2:11" x14ac:dyDescent="0.25">
      <c r="B109" s="19" t="s">
        <v>91</v>
      </c>
      <c r="E109" s="15"/>
    </row>
    <row r="110" spans="2:11" x14ac:dyDescent="0.25">
      <c r="B110" s="18" t="s">
        <v>88</v>
      </c>
      <c r="E110" s="15"/>
      <c r="F110" s="29">
        <v>0</v>
      </c>
      <c r="G110" s="29">
        <v>0</v>
      </c>
      <c r="H110" s="29">
        <v>0</v>
      </c>
      <c r="I110" s="29">
        <v>0</v>
      </c>
      <c r="J110" s="29">
        <v>50500000</v>
      </c>
    </row>
    <row r="111" spans="2:11" x14ac:dyDescent="0.25">
      <c r="B111" s="18" t="s">
        <v>89</v>
      </c>
      <c r="E111" s="15"/>
      <c r="F111" s="29">
        <v>0</v>
      </c>
      <c r="G111" s="29">
        <v>0</v>
      </c>
      <c r="H111" s="29">
        <v>0</v>
      </c>
      <c r="I111" s="29">
        <v>0</v>
      </c>
      <c r="J111" s="29">
        <v>0</v>
      </c>
    </row>
    <row r="112" spans="2:11" x14ac:dyDescent="0.25">
      <c r="B112" s="18" t="s">
        <v>90</v>
      </c>
      <c r="E112" s="15"/>
      <c r="F112" s="29">
        <v>0</v>
      </c>
      <c r="G112" s="29">
        <v>0</v>
      </c>
      <c r="H112" s="29">
        <v>-140000</v>
      </c>
      <c r="I112" s="29">
        <v>0</v>
      </c>
      <c r="J112" s="29">
        <v>0</v>
      </c>
    </row>
    <row r="114" spans="2:10" x14ac:dyDescent="0.25">
      <c r="B114" s="19" t="s">
        <v>92</v>
      </c>
      <c r="C114" s="10"/>
      <c r="D114" s="10"/>
      <c r="E114" s="15"/>
    </row>
    <row r="115" spans="2:10" x14ac:dyDescent="0.25">
      <c r="B115" s="18" t="s">
        <v>93</v>
      </c>
      <c r="E115" s="15"/>
      <c r="F115" s="29">
        <v>85338</v>
      </c>
      <c r="G115" s="29">
        <v>747112</v>
      </c>
      <c r="H115" s="29">
        <v>62875</v>
      </c>
      <c r="I115" s="29">
        <v>0</v>
      </c>
      <c r="J115" s="29">
        <v>0</v>
      </c>
    </row>
    <row r="116" spans="2:10" x14ac:dyDescent="0.25">
      <c r="B116" s="18" t="s">
        <v>94</v>
      </c>
      <c r="E116" s="15"/>
      <c r="F116" s="29">
        <v>-2423007</v>
      </c>
      <c r="G116" s="29">
        <v>-6234879</v>
      </c>
      <c r="H116" s="29">
        <v>-6055601</v>
      </c>
      <c r="I116" s="29">
        <v>-1831208</v>
      </c>
      <c r="J116" s="29">
        <v>0</v>
      </c>
    </row>
    <row r="117" spans="2:10" x14ac:dyDescent="0.25">
      <c r="B117" s="10"/>
      <c r="C117" s="10"/>
      <c r="D117" s="10"/>
      <c r="E117" s="15"/>
    </row>
    <row r="118" spans="2:10" x14ac:dyDescent="0.25">
      <c r="B118" s="19" t="s">
        <v>96</v>
      </c>
    </row>
    <row r="119" spans="2:10" x14ac:dyDescent="0.25">
      <c r="B119" s="18" t="s">
        <v>87</v>
      </c>
      <c r="F119" s="29">
        <v>0</v>
      </c>
      <c r="G119" s="29">
        <v>-5862012</v>
      </c>
      <c r="H119" s="29">
        <v>-5600655</v>
      </c>
      <c r="I119" s="29">
        <v>-5486834</v>
      </c>
      <c r="J119" s="29">
        <v>-5998223</v>
      </c>
    </row>
    <row r="121" spans="2:10" x14ac:dyDescent="0.25">
      <c r="B121" s="19" t="s">
        <v>97</v>
      </c>
    </row>
    <row r="122" spans="2:10" x14ac:dyDescent="0.25">
      <c r="B122" s="18" t="s">
        <v>95</v>
      </c>
      <c r="F122" s="29">
        <v>0</v>
      </c>
      <c r="G122" s="29">
        <v>0</v>
      </c>
      <c r="H122" s="29">
        <v>0</v>
      </c>
      <c r="I122" s="29">
        <v>0</v>
      </c>
      <c r="J122" s="29">
        <v>-818857</v>
      </c>
    </row>
    <row r="123" spans="2:10" ht="16.5" thickBot="1" x14ac:dyDescent="0.3"/>
    <row r="124" spans="2:10" x14ac:dyDescent="0.25">
      <c r="B124" s="10" t="s">
        <v>98</v>
      </c>
      <c r="F124" s="26">
        <f>SUM(F110:F122)</f>
        <v>-2337669</v>
      </c>
      <c r="G124" s="26">
        <f t="shared" ref="G124:J124" si="16">SUM(G110:G122)</f>
        <v>-11349779</v>
      </c>
      <c r="H124" s="26">
        <f t="shared" si="16"/>
        <v>-11733381</v>
      </c>
      <c r="I124" s="26">
        <f t="shared" si="16"/>
        <v>-7318042</v>
      </c>
      <c r="J124" s="26">
        <f t="shared" si="16"/>
        <v>43682920</v>
      </c>
    </row>
    <row r="126" spans="2:10" x14ac:dyDescent="0.25">
      <c r="B126" s="18"/>
      <c r="E126" s="15"/>
    </row>
    <row r="127" spans="2:10" x14ac:dyDescent="0.25">
      <c r="B127" s="32" t="s">
        <v>99</v>
      </c>
      <c r="E127" s="15"/>
      <c r="F127" s="29">
        <v>-2042</v>
      </c>
      <c r="G127" s="29">
        <v>-44054</v>
      </c>
      <c r="H127" s="29">
        <v>-3872</v>
      </c>
      <c r="I127" s="29">
        <v>262588</v>
      </c>
      <c r="J127" s="29">
        <v>-136700</v>
      </c>
    </row>
    <row r="128" spans="2:10" x14ac:dyDescent="0.25">
      <c r="B128" s="18"/>
      <c r="E128" s="15"/>
    </row>
    <row r="129" spans="1:12" x14ac:dyDescent="0.25">
      <c r="B129" s="33" t="s">
        <v>100</v>
      </c>
      <c r="E129" s="15"/>
    </row>
    <row r="130" spans="1:12" x14ac:dyDescent="0.25">
      <c r="B130" s="18" t="s">
        <v>101</v>
      </c>
      <c r="F130" s="29">
        <v>13836771</v>
      </c>
      <c r="G130" s="29">
        <f>F132</f>
        <v>27065423</v>
      </c>
      <c r="H130" s="29">
        <f t="shared" ref="H130:J130" si="17">G132</f>
        <v>45806947</v>
      </c>
      <c r="I130" s="29">
        <f t="shared" si="17"/>
        <v>13873628</v>
      </c>
      <c r="J130" s="29">
        <f t="shared" si="17"/>
        <v>6989793</v>
      </c>
    </row>
    <row r="131" spans="1:12" ht="16.5" thickBot="1" x14ac:dyDescent="0.3">
      <c r="B131" s="18" t="s">
        <v>102</v>
      </c>
      <c r="F131" s="29">
        <f>F77+F105+F124+F127</f>
        <v>13228652</v>
      </c>
      <c r="G131" s="29">
        <f>G77+G105+G124+G127</f>
        <v>18741524</v>
      </c>
      <c r="H131" s="29">
        <f>H77+H105+H124+H127</f>
        <v>-31933319</v>
      </c>
      <c r="I131" s="29">
        <f>I77+I105+I124+I127</f>
        <v>-6883835</v>
      </c>
      <c r="J131" s="29">
        <f>J77+J105+J124+J127</f>
        <v>2523161</v>
      </c>
    </row>
    <row r="132" spans="1:12" x14ac:dyDescent="0.25">
      <c r="B132" s="36" t="s">
        <v>103</v>
      </c>
      <c r="F132" s="34">
        <f>SUM(F130:F131)</f>
        <v>27065423</v>
      </c>
      <c r="G132" s="34">
        <f t="shared" ref="G132:J132" si="18">SUM(G130:G131)</f>
        <v>45806947</v>
      </c>
      <c r="H132" s="34">
        <f t="shared" si="18"/>
        <v>13873628</v>
      </c>
      <c r="I132" s="34">
        <f t="shared" si="18"/>
        <v>6989793</v>
      </c>
      <c r="J132" s="34">
        <f t="shared" si="18"/>
        <v>9512954</v>
      </c>
    </row>
    <row r="135" spans="1:12" ht="23.25" x14ac:dyDescent="0.35">
      <c r="A135" s="1" t="s">
        <v>185</v>
      </c>
      <c r="B135" s="46" t="s">
        <v>132</v>
      </c>
      <c r="C135" s="53"/>
      <c r="D135" s="53"/>
      <c r="E135" s="53"/>
      <c r="F135" s="54"/>
      <c r="G135" s="54"/>
      <c r="H135" s="54"/>
      <c r="I135" s="54"/>
      <c r="J135" s="54"/>
      <c r="K135" s="53"/>
      <c r="L135" s="53"/>
    </row>
    <row r="137" spans="1:12" ht="16.5" thickBot="1" x14ac:dyDescent="0.3">
      <c r="F137" s="31">
        <v>2021</v>
      </c>
      <c r="G137" s="31">
        <f>F137+1</f>
        <v>2022</v>
      </c>
      <c r="H137" s="31">
        <f t="shared" ref="H137" si="19">G137+1</f>
        <v>2023</v>
      </c>
      <c r="I137" s="31">
        <f t="shared" ref="I137" si="20">H137+1</f>
        <v>2024</v>
      </c>
      <c r="J137" s="31">
        <f t="shared" ref="J137" si="21">I137+1</f>
        <v>2025</v>
      </c>
    </row>
    <row r="139" spans="1:12" x14ac:dyDescent="0.25">
      <c r="B139" s="44" t="s">
        <v>106</v>
      </c>
      <c r="F139" s="29">
        <v>26497305</v>
      </c>
      <c r="G139" s="29">
        <v>45236584</v>
      </c>
      <c r="H139" s="29">
        <v>13403628</v>
      </c>
      <c r="I139" s="29">
        <v>6519793</v>
      </c>
      <c r="J139" s="29">
        <v>8959954</v>
      </c>
    </row>
    <row r="140" spans="1:12" ht="16.5" thickBot="1" x14ac:dyDescent="0.3">
      <c r="B140" s="44" t="s">
        <v>107</v>
      </c>
      <c r="F140" s="29">
        <f>F141-F139</f>
        <v>568118</v>
      </c>
      <c r="G140" s="29">
        <f t="shared" ref="G140" si="22">G141-G139</f>
        <v>570363</v>
      </c>
      <c r="H140" s="29">
        <f t="shared" ref="H140" si="23">H141-H139</f>
        <v>470000</v>
      </c>
      <c r="I140" s="29">
        <f t="shared" ref="I140" si="24">I141-I139</f>
        <v>470000</v>
      </c>
      <c r="J140" s="29">
        <f t="shared" ref="J140" si="25">J141-J139</f>
        <v>553000</v>
      </c>
    </row>
    <row r="141" spans="1:12" x14ac:dyDescent="0.25">
      <c r="B141" s="33" t="s">
        <v>108</v>
      </c>
      <c r="F141" s="34">
        <f>F132</f>
        <v>27065423</v>
      </c>
      <c r="G141" s="34">
        <f t="shared" ref="G141:J141" si="26">G132</f>
        <v>45806947</v>
      </c>
      <c r="H141" s="34">
        <f t="shared" si="26"/>
        <v>13873628</v>
      </c>
      <c r="I141" s="34">
        <f t="shared" si="26"/>
        <v>6989793</v>
      </c>
      <c r="J141" s="34">
        <f t="shared" si="26"/>
        <v>9512954</v>
      </c>
    </row>
    <row r="143" spans="1:12" ht="23.25" x14ac:dyDescent="0.35">
      <c r="A143" s="1" t="s">
        <v>185</v>
      </c>
      <c r="B143" s="46" t="s">
        <v>104</v>
      </c>
      <c r="C143" s="53"/>
      <c r="D143" s="53"/>
      <c r="E143" s="53"/>
      <c r="F143" s="54"/>
      <c r="G143" s="54"/>
      <c r="H143" s="54"/>
      <c r="I143" s="54"/>
      <c r="J143" s="54"/>
      <c r="K143" s="53"/>
      <c r="L143" s="53"/>
    </row>
    <row r="145" spans="2:10" ht="16.5" thickBot="1" x14ac:dyDescent="0.3">
      <c r="F145" s="31">
        <v>2021</v>
      </c>
      <c r="G145" s="31">
        <f>F145+1</f>
        <v>2022</v>
      </c>
      <c r="H145" s="31">
        <f t="shared" ref="H145" si="27">G145+1</f>
        <v>2023</v>
      </c>
      <c r="I145" s="31">
        <f t="shared" ref="I145" si="28">H145+1</f>
        <v>2024</v>
      </c>
      <c r="J145" s="31">
        <f t="shared" ref="J145" si="29">I145+1</f>
        <v>2025</v>
      </c>
    </row>
    <row r="146" spans="2:10" x14ac:dyDescent="0.25">
      <c r="B146" s="10" t="s">
        <v>105</v>
      </c>
    </row>
    <row r="147" spans="2:10" x14ac:dyDescent="0.25">
      <c r="B147" s="10"/>
    </row>
    <row r="148" spans="2:10" x14ac:dyDescent="0.25">
      <c r="B148" s="19" t="s">
        <v>109</v>
      </c>
    </row>
    <row r="149" spans="2:10" x14ac:dyDescent="0.25">
      <c r="B149" s="18" t="s">
        <v>106</v>
      </c>
      <c r="F149" s="29">
        <f>F139</f>
        <v>26497305</v>
      </c>
      <c r="G149" s="29">
        <f t="shared" ref="G149:J149" si="30">G139</f>
        <v>45236584</v>
      </c>
      <c r="H149" s="29">
        <f t="shared" si="30"/>
        <v>13403628</v>
      </c>
      <c r="I149" s="29">
        <f t="shared" si="30"/>
        <v>6519793</v>
      </c>
      <c r="J149" s="29">
        <f t="shared" si="30"/>
        <v>8959954</v>
      </c>
    </row>
    <row r="150" spans="2:10" x14ac:dyDescent="0.25">
      <c r="B150" s="18" t="s">
        <v>116</v>
      </c>
      <c r="F150" s="29">
        <v>0</v>
      </c>
      <c r="G150" s="29">
        <v>0</v>
      </c>
      <c r="H150" s="29">
        <v>18775106</v>
      </c>
      <c r="I150" s="29">
        <v>0</v>
      </c>
      <c r="J150" s="29">
        <v>0</v>
      </c>
    </row>
    <row r="151" spans="2:10" x14ac:dyDescent="0.25">
      <c r="B151" s="18" t="s">
        <v>62</v>
      </c>
      <c r="F151" s="29">
        <v>4596931</v>
      </c>
      <c r="G151" s="29">
        <v>7201386</v>
      </c>
      <c r="H151" s="29">
        <v>6015448</v>
      </c>
      <c r="I151" s="29">
        <v>5843722</v>
      </c>
      <c r="J151" s="29">
        <v>16132501</v>
      </c>
    </row>
    <row r="152" spans="2:10" x14ac:dyDescent="0.25">
      <c r="B152" s="18" t="s">
        <v>110</v>
      </c>
      <c r="F152" s="29">
        <v>0</v>
      </c>
      <c r="G152" s="29">
        <v>1222090</v>
      </c>
      <c r="H152" s="29">
        <v>1219025</v>
      </c>
      <c r="I152" s="29">
        <v>0</v>
      </c>
      <c r="J152" s="29">
        <v>2694340</v>
      </c>
    </row>
    <row r="153" spans="2:10" x14ac:dyDescent="0.25">
      <c r="B153" s="18" t="s">
        <v>111</v>
      </c>
      <c r="F153" s="29">
        <v>0</v>
      </c>
      <c r="G153" s="29">
        <v>1140094</v>
      </c>
      <c r="H153" s="29">
        <v>952301</v>
      </c>
      <c r="I153" s="29">
        <v>975963</v>
      </c>
      <c r="J153" s="29">
        <v>2949311</v>
      </c>
    </row>
    <row r="154" spans="2:10" x14ac:dyDescent="0.25">
      <c r="B154" s="18" t="s">
        <v>112</v>
      </c>
      <c r="F154" s="29">
        <v>569870</v>
      </c>
      <c r="G154" s="29">
        <v>632154</v>
      </c>
      <c r="H154" s="29">
        <v>763288</v>
      </c>
      <c r="I154" s="29">
        <v>792041</v>
      </c>
      <c r="J154" s="29">
        <v>1847672</v>
      </c>
    </row>
    <row r="155" spans="2:10" ht="16.5" thickBot="1" x14ac:dyDescent="0.3">
      <c r="B155" s="18" t="s">
        <v>115</v>
      </c>
      <c r="F155" s="29">
        <v>0</v>
      </c>
      <c r="G155" s="29">
        <v>31383</v>
      </c>
      <c r="H155" s="29">
        <v>0</v>
      </c>
      <c r="I155" s="29">
        <v>0</v>
      </c>
      <c r="J155" s="29">
        <v>0</v>
      </c>
    </row>
    <row r="156" spans="2:10" x14ac:dyDescent="0.25">
      <c r="B156" s="19" t="s">
        <v>113</v>
      </c>
      <c r="F156" s="34">
        <f>SUM(F149:F155)</f>
        <v>31664106</v>
      </c>
      <c r="G156" s="34">
        <f t="shared" ref="G156:J156" si="31">SUM(G149:G155)</f>
        <v>55463691</v>
      </c>
      <c r="H156" s="34">
        <f t="shared" si="31"/>
        <v>41128796</v>
      </c>
      <c r="I156" s="34">
        <f t="shared" si="31"/>
        <v>14131519</v>
      </c>
      <c r="J156" s="34">
        <f t="shared" si="31"/>
        <v>32583778</v>
      </c>
    </row>
    <row r="158" spans="2:10" x14ac:dyDescent="0.25">
      <c r="B158" s="19" t="s">
        <v>118</v>
      </c>
      <c r="C158" s="41"/>
      <c r="D158" s="41"/>
      <c r="F158" s="10"/>
      <c r="G158" s="10"/>
      <c r="H158" s="1"/>
    </row>
    <row r="159" spans="2:10" x14ac:dyDescent="0.25">
      <c r="B159" s="19"/>
      <c r="C159" s="41"/>
      <c r="D159" s="41"/>
      <c r="F159" s="10"/>
      <c r="G159" s="10"/>
      <c r="H159" s="1"/>
    </row>
    <row r="160" spans="2:10" x14ac:dyDescent="0.25">
      <c r="B160" s="36" t="s">
        <v>119</v>
      </c>
      <c r="C160" s="10"/>
      <c r="D160" s="10"/>
      <c r="E160" s="10"/>
      <c r="F160" s="1"/>
      <c r="G160" s="1"/>
      <c r="H160" s="10"/>
      <c r="J160" s="1"/>
    </row>
    <row r="161" spans="2:16" x14ac:dyDescent="0.25">
      <c r="B161" s="42" t="s">
        <v>120</v>
      </c>
      <c r="C161" s="41"/>
      <c r="D161" s="41"/>
      <c r="F161" s="29">
        <v>138032413</v>
      </c>
      <c r="G161" s="29">
        <v>148326265</v>
      </c>
      <c r="H161" s="29">
        <v>160263511</v>
      </c>
      <c r="I161" s="29">
        <v>191879210</v>
      </c>
      <c r="J161" s="29">
        <v>233334212</v>
      </c>
      <c r="K161" s="38"/>
      <c r="L161" s="39"/>
      <c r="M161" s="39"/>
      <c r="N161" s="39"/>
      <c r="O161" s="39"/>
      <c r="P161" s="39"/>
    </row>
    <row r="162" spans="2:16" x14ac:dyDescent="0.25">
      <c r="B162" s="42" t="s">
        <v>121</v>
      </c>
      <c r="E162" s="15"/>
      <c r="F162" s="29">
        <v>21700926</v>
      </c>
      <c r="G162" s="29">
        <v>18169157</v>
      </c>
      <c r="H162" s="29">
        <v>25504873</v>
      </c>
      <c r="I162" s="29">
        <v>28364186</v>
      </c>
      <c r="J162" s="29">
        <v>79307169</v>
      </c>
      <c r="K162" s="39"/>
      <c r="L162" s="37"/>
      <c r="M162" s="37"/>
      <c r="N162" s="37"/>
      <c r="O162" s="38"/>
      <c r="P162" s="38"/>
    </row>
    <row r="163" spans="2:16" ht="16.5" thickBot="1" x14ac:dyDescent="0.3">
      <c r="B163" s="42" t="s">
        <v>122</v>
      </c>
      <c r="D163" s="10"/>
      <c r="E163" s="15"/>
      <c r="F163" s="29">
        <v>-102480972</v>
      </c>
      <c r="G163" s="29">
        <v>-107729293</v>
      </c>
      <c r="H163" s="29">
        <v>-113708210</v>
      </c>
      <c r="I163" s="29">
        <v>-123281395</v>
      </c>
      <c r="J163" s="29">
        <v>-131636141</v>
      </c>
      <c r="K163" s="40"/>
      <c r="L163" s="38"/>
      <c r="M163" s="38"/>
      <c r="N163" s="38"/>
      <c r="O163" s="40"/>
      <c r="P163" s="40"/>
    </row>
    <row r="164" spans="2:16" x14ac:dyDescent="0.25">
      <c r="B164" s="36" t="s">
        <v>123</v>
      </c>
      <c r="D164" s="10"/>
      <c r="F164" s="34">
        <f>SUM(F161:F163)</f>
        <v>57252367</v>
      </c>
      <c r="G164" s="34">
        <f t="shared" ref="G164:J164" si="32">SUM(G161:G163)</f>
        <v>58766129</v>
      </c>
      <c r="H164" s="34">
        <f t="shared" si="32"/>
        <v>72060174</v>
      </c>
      <c r="I164" s="34">
        <f t="shared" si="32"/>
        <v>96962001</v>
      </c>
      <c r="J164" s="34">
        <f t="shared" si="32"/>
        <v>181005240</v>
      </c>
      <c r="K164" s="40"/>
      <c r="L164" s="38"/>
      <c r="M164" s="38"/>
      <c r="N164" s="39"/>
      <c r="O164" s="40"/>
      <c r="P164" s="40"/>
    </row>
    <row r="165" spans="2:16" x14ac:dyDescent="0.25">
      <c r="D165" s="10"/>
      <c r="E165" s="15"/>
      <c r="F165" s="10"/>
      <c r="G165" s="10"/>
      <c r="H165" s="15"/>
      <c r="I165" s="39"/>
      <c r="J165" s="40"/>
      <c r="K165" s="38"/>
      <c r="L165" s="38"/>
      <c r="M165" s="38"/>
      <c r="N165" s="39"/>
      <c r="O165" s="38"/>
      <c r="P165" s="40"/>
    </row>
    <row r="166" spans="2:16" x14ac:dyDescent="0.25">
      <c r="B166" s="36" t="s">
        <v>127</v>
      </c>
      <c r="E166" s="15"/>
      <c r="F166" s="1"/>
      <c r="G166" s="1"/>
      <c r="H166" s="15"/>
      <c r="I166" s="39"/>
      <c r="J166" s="40"/>
      <c r="K166" s="40"/>
      <c r="L166" s="38"/>
      <c r="M166" s="38"/>
      <c r="N166" s="39"/>
      <c r="O166" s="40"/>
      <c r="P166" s="40"/>
    </row>
    <row r="167" spans="2:16" x14ac:dyDescent="0.25">
      <c r="B167" s="42" t="s">
        <v>124</v>
      </c>
      <c r="D167" s="10"/>
      <c r="E167" s="15"/>
      <c r="F167" s="29">
        <v>42475086</v>
      </c>
      <c r="G167" s="29">
        <v>42639001</v>
      </c>
      <c r="H167" s="29">
        <v>42738273</v>
      </c>
      <c r="I167" s="29">
        <v>43116371</v>
      </c>
      <c r="J167" s="29">
        <v>43540389</v>
      </c>
      <c r="K167" s="15"/>
      <c r="M167" s="38"/>
      <c r="N167" s="38"/>
      <c r="O167" s="40"/>
      <c r="P167" s="40"/>
    </row>
    <row r="168" spans="2:16" ht="16.5" thickBot="1" x14ac:dyDescent="0.3">
      <c r="B168" s="42" t="s">
        <v>125</v>
      </c>
      <c r="E168" s="15"/>
      <c r="F168" s="29">
        <v>-33443949</v>
      </c>
      <c r="G168" s="29">
        <v>-34500740</v>
      </c>
      <c r="H168" s="29">
        <v>-35539996</v>
      </c>
      <c r="I168" s="29">
        <v>-36449511</v>
      </c>
      <c r="J168" s="29">
        <v>-37472139</v>
      </c>
      <c r="K168" s="15"/>
      <c r="L168" s="41"/>
      <c r="M168" s="37"/>
      <c r="N168" s="38"/>
      <c r="O168" s="38"/>
      <c r="P168" s="38"/>
    </row>
    <row r="169" spans="2:16" x14ac:dyDescent="0.25">
      <c r="B169" s="36" t="s">
        <v>126</v>
      </c>
      <c r="C169" s="41"/>
      <c r="F169" s="34">
        <f>SUM(F167:F168)</f>
        <v>9031137</v>
      </c>
      <c r="G169" s="34">
        <f t="shared" ref="G169:J169" si="33">SUM(G167:G168)</f>
        <v>8138261</v>
      </c>
      <c r="H169" s="34">
        <f t="shared" si="33"/>
        <v>7198277</v>
      </c>
      <c r="I169" s="34">
        <f t="shared" si="33"/>
        <v>6666860</v>
      </c>
      <c r="J169" s="34">
        <f t="shared" si="33"/>
        <v>6068250</v>
      </c>
      <c r="K169" s="15"/>
      <c r="L169" s="10"/>
      <c r="M169" s="39"/>
      <c r="N169" s="38"/>
      <c r="O169" s="38"/>
      <c r="P169" s="38"/>
    </row>
    <row r="170" spans="2:16" x14ac:dyDescent="0.25">
      <c r="B170" s="10"/>
      <c r="C170" s="10"/>
      <c r="F170" s="1"/>
      <c r="G170" s="1"/>
      <c r="H170" s="1"/>
      <c r="I170" s="38"/>
      <c r="J170" s="40"/>
      <c r="K170" s="40"/>
      <c r="L170" s="38"/>
      <c r="M170" s="38"/>
      <c r="N170" s="38"/>
      <c r="O170" s="38"/>
      <c r="P170" s="38"/>
    </row>
    <row r="171" spans="2:16" x14ac:dyDescent="0.25">
      <c r="B171" s="36" t="s">
        <v>129</v>
      </c>
      <c r="F171" s="1"/>
      <c r="G171" s="1"/>
      <c r="H171" s="1"/>
      <c r="I171" s="38"/>
      <c r="J171" s="38"/>
      <c r="K171" s="38"/>
      <c r="L171" s="38"/>
      <c r="M171" s="38"/>
      <c r="N171" s="38"/>
      <c r="O171" s="40"/>
      <c r="P171" s="40"/>
    </row>
    <row r="172" spans="2:16" x14ac:dyDescent="0.25">
      <c r="B172" s="42" t="s">
        <v>117</v>
      </c>
      <c r="C172" s="10"/>
      <c r="F172" s="29">
        <v>637764</v>
      </c>
      <c r="G172" s="29">
        <v>637764</v>
      </c>
      <c r="H172" s="29">
        <v>637764</v>
      </c>
      <c r="I172" s="29">
        <v>637764</v>
      </c>
      <c r="J172" s="29">
        <v>1231965</v>
      </c>
      <c r="K172" s="40"/>
      <c r="L172" s="38"/>
      <c r="M172" s="38"/>
      <c r="N172" s="38"/>
      <c r="O172" s="38"/>
      <c r="P172" s="38"/>
    </row>
    <row r="173" spans="2:16" ht="16.5" thickBot="1" x14ac:dyDescent="0.3">
      <c r="B173" s="42" t="s">
        <v>128</v>
      </c>
      <c r="E173" s="15"/>
      <c r="F173" s="29">
        <v>309102</v>
      </c>
      <c r="G173" s="29">
        <v>286035</v>
      </c>
      <c r="H173" s="29">
        <v>291807</v>
      </c>
      <c r="I173" s="29">
        <v>259335</v>
      </c>
      <c r="J173" s="29">
        <v>4132732</v>
      </c>
      <c r="K173" s="38"/>
      <c r="L173" s="38"/>
      <c r="M173" s="38"/>
      <c r="N173" s="38"/>
      <c r="O173" s="40"/>
      <c r="P173" s="40"/>
    </row>
    <row r="174" spans="2:16" x14ac:dyDescent="0.25">
      <c r="B174" s="36" t="s">
        <v>130</v>
      </c>
      <c r="E174" s="15"/>
      <c r="F174" s="34">
        <f>SUM(F172:F173)</f>
        <v>946866</v>
      </c>
      <c r="G174" s="34">
        <f t="shared" ref="G174:J174" si="34">SUM(G172:G173)</f>
        <v>923799</v>
      </c>
      <c r="H174" s="34">
        <f t="shared" si="34"/>
        <v>929571</v>
      </c>
      <c r="I174" s="34">
        <f t="shared" si="34"/>
        <v>897099</v>
      </c>
      <c r="J174" s="34">
        <f t="shared" si="34"/>
        <v>5364697</v>
      </c>
      <c r="K174" s="38"/>
      <c r="L174" s="38"/>
      <c r="M174" s="38"/>
      <c r="N174" s="38"/>
      <c r="O174" s="40"/>
      <c r="P174" s="40"/>
    </row>
    <row r="175" spans="2:16" ht="16.5" thickBot="1" x14ac:dyDescent="0.3">
      <c r="E175" s="15"/>
      <c r="F175" s="1"/>
      <c r="G175" s="1"/>
      <c r="H175" s="15"/>
      <c r="I175" s="1"/>
      <c r="J175" s="1"/>
      <c r="O175" s="15"/>
      <c r="P175" s="15"/>
    </row>
    <row r="176" spans="2:16" x14ac:dyDescent="0.25">
      <c r="B176" s="36" t="s">
        <v>131</v>
      </c>
      <c r="C176" s="10"/>
      <c r="F176" s="34">
        <f>F164+F169+F174</f>
        <v>67230370</v>
      </c>
      <c r="G176" s="34">
        <f t="shared" ref="G176:J176" si="35">G164+G169+G174</f>
        <v>67828189</v>
      </c>
      <c r="H176" s="34">
        <f t="shared" si="35"/>
        <v>80188022</v>
      </c>
      <c r="I176" s="34">
        <f t="shared" si="35"/>
        <v>104525960</v>
      </c>
      <c r="J176" s="34">
        <f t="shared" si="35"/>
        <v>192438187</v>
      </c>
      <c r="K176" s="15"/>
      <c r="O176" s="15"/>
      <c r="P176" s="15"/>
    </row>
    <row r="177" spans="2:16" x14ac:dyDescent="0.25">
      <c r="E177" s="15"/>
      <c r="F177" s="1"/>
      <c r="G177" s="1"/>
      <c r="H177" s="1"/>
      <c r="I177" s="1"/>
      <c r="J177" s="15"/>
      <c r="K177" s="15"/>
      <c r="O177" s="15"/>
      <c r="P177" s="15"/>
    </row>
    <row r="178" spans="2:16" x14ac:dyDescent="0.25">
      <c r="B178" s="19" t="s">
        <v>138</v>
      </c>
      <c r="E178" s="15"/>
      <c r="F178" s="1"/>
      <c r="G178" s="1"/>
      <c r="H178" s="1"/>
      <c r="I178" s="1"/>
      <c r="J178" s="15"/>
      <c r="K178" s="15"/>
      <c r="O178" s="15"/>
      <c r="P178" s="15"/>
    </row>
    <row r="179" spans="2:16" x14ac:dyDescent="0.25">
      <c r="C179" s="10"/>
      <c r="F179" s="1"/>
      <c r="G179" s="1"/>
      <c r="H179" s="1"/>
      <c r="I179" s="1"/>
      <c r="J179" s="15"/>
      <c r="K179" s="15"/>
      <c r="O179" s="15"/>
      <c r="P179" s="15"/>
    </row>
    <row r="180" spans="2:16" x14ac:dyDescent="0.25">
      <c r="B180" s="18" t="s">
        <v>196</v>
      </c>
      <c r="C180" s="10"/>
      <c r="F180" s="29">
        <v>0</v>
      </c>
      <c r="G180" s="29">
        <v>0</v>
      </c>
      <c r="H180" s="29">
        <v>0</v>
      </c>
      <c r="I180" s="29">
        <v>0</v>
      </c>
      <c r="J180" s="29">
        <v>0</v>
      </c>
      <c r="K180" s="15"/>
      <c r="O180" s="15"/>
      <c r="P180" s="15"/>
    </row>
    <row r="181" spans="2:16" x14ac:dyDescent="0.25">
      <c r="B181" s="18" t="s">
        <v>197</v>
      </c>
      <c r="C181" s="10"/>
      <c r="F181" s="29">
        <v>0</v>
      </c>
      <c r="G181" s="29">
        <v>0</v>
      </c>
      <c r="H181" s="29">
        <v>0</v>
      </c>
      <c r="I181" s="29">
        <v>0</v>
      </c>
      <c r="J181" s="29">
        <v>0</v>
      </c>
      <c r="K181" s="15"/>
      <c r="O181" s="15"/>
      <c r="P181" s="15"/>
    </row>
    <row r="182" spans="2:16" x14ac:dyDescent="0.25">
      <c r="B182" s="18" t="s">
        <v>107</v>
      </c>
      <c r="F182" s="29">
        <f>F140</f>
        <v>568118</v>
      </c>
      <c r="G182" s="29">
        <f t="shared" ref="G182:I182" si="36">G140</f>
        <v>570363</v>
      </c>
      <c r="H182" s="29">
        <f t="shared" si="36"/>
        <v>470000</v>
      </c>
      <c r="I182" s="29">
        <f t="shared" si="36"/>
        <v>470000</v>
      </c>
      <c r="J182" s="29">
        <f>J140</f>
        <v>553000</v>
      </c>
      <c r="K182" s="40"/>
      <c r="L182" s="38"/>
      <c r="M182" s="38"/>
      <c r="N182" s="38"/>
      <c r="O182" s="40"/>
      <c r="P182" s="40"/>
    </row>
    <row r="183" spans="2:16" x14ac:dyDescent="0.25">
      <c r="B183" s="18" t="s">
        <v>115</v>
      </c>
      <c r="E183" s="15"/>
      <c r="F183" s="29">
        <v>0</v>
      </c>
      <c r="G183" s="29">
        <v>0</v>
      </c>
      <c r="H183" s="29">
        <v>441987</v>
      </c>
      <c r="I183" s="29">
        <v>344589</v>
      </c>
      <c r="J183" s="29">
        <v>488949</v>
      </c>
      <c r="K183" s="40"/>
      <c r="L183" s="38"/>
      <c r="M183" s="38"/>
      <c r="N183" s="38"/>
      <c r="O183" s="40"/>
      <c r="P183" s="40"/>
    </row>
    <row r="184" spans="2:16" x14ac:dyDescent="0.25">
      <c r="B184" s="18" t="s">
        <v>133</v>
      </c>
      <c r="E184" s="15"/>
      <c r="F184" s="29">
        <v>0</v>
      </c>
      <c r="G184" s="29">
        <v>0</v>
      </c>
      <c r="H184" s="29">
        <v>0</v>
      </c>
      <c r="I184" s="29">
        <v>0</v>
      </c>
      <c r="J184" s="29">
        <v>1154936</v>
      </c>
      <c r="K184" s="40"/>
      <c r="L184" s="38"/>
      <c r="M184" s="38"/>
      <c r="N184" s="38"/>
      <c r="O184" s="40"/>
      <c r="P184" s="40"/>
    </row>
    <row r="185" spans="2:16" x14ac:dyDescent="0.25">
      <c r="B185" s="18" t="s">
        <v>134</v>
      </c>
      <c r="E185" s="15"/>
      <c r="F185" s="29">
        <v>0</v>
      </c>
      <c r="G185" s="29">
        <v>0</v>
      </c>
      <c r="H185" s="29">
        <v>0</v>
      </c>
      <c r="I185" s="29">
        <v>0</v>
      </c>
      <c r="J185" s="29">
        <v>774347</v>
      </c>
      <c r="K185" s="40"/>
      <c r="L185" s="39"/>
      <c r="M185" s="39"/>
      <c r="N185" s="38"/>
      <c r="O185" s="38"/>
      <c r="P185" s="38"/>
    </row>
    <row r="186" spans="2:16" x14ac:dyDescent="0.25">
      <c r="B186" s="18" t="s">
        <v>71</v>
      </c>
      <c r="E186" s="15"/>
      <c r="F186" s="29">
        <v>0</v>
      </c>
      <c r="G186" s="29">
        <v>0</v>
      </c>
      <c r="H186" s="29">
        <v>1813808</v>
      </c>
      <c r="I186" s="29">
        <v>982717</v>
      </c>
      <c r="J186" s="29">
        <v>246220</v>
      </c>
      <c r="K186" s="40"/>
      <c r="L186" s="38"/>
      <c r="M186" s="38"/>
      <c r="N186" s="38"/>
      <c r="O186" s="40"/>
      <c r="P186" s="40"/>
    </row>
    <row r="187" spans="2:16" ht="16.5" thickBot="1" x14ac:dyDescent="0.3">
      <c r="B187" s="18" t="s">
        <v>135</v>
      </c>
      <c r="E187" s="15"/>
      <c r="F187" s="29">
        <v>0</v>
      </c>
      <c r="G187" s="29">
        <v>0</v>
      </c>
      <c r="H187" s="29">
        <v>0</v>
      </c>
      <c r="I187" s="29">
        <v>0</v>
      </c>
      <c r="J187" s="29">
        <v>0</v>
      </c>
      <c r="K187" s="38"/>
      <c r="L187" s="39"/>
      <c r="M187" s="39"/>
      <c r="N187" s="38"/>
      <c r="O187" s="40"/>
      <c r="P187" s="40"/>
    </row>
    <row r="188" spans="2:16" x14ac:dyDescent="0.25">
      <c r="B188" s="36" t="s">
        <v>136</v>
      </c>
      <c r="E188" s="15"/>
      <c r="F188" s="34">
        <f>SUM(F180:F187)</f>
        <v>568118</v>
      </c>
      <c r="G188" s="34">
        <f t="shared" ref="G188:J188" si="37">SUM(G180:G187)</f>
        <v>570363</v>
      </c>
      <c r="H188" s="34">
        <f t="shared" si="37"/>
        <v>2725795</v>
      </c>
      <c r="I188" s="34">
        <f t="shared" si="37"/>
        <v>1797306</v>
      </c>
      <c r="J188" s="34">
        <f t="shared" si="37"/>
        <v>3217452</v>
      </c>
      <c r="K188" s="38"/>
      <c r="L188" s="39"/>
      <c r="M188" s="39"/>
      <c r="N188" s="39"/>
      <c r="O188" s="38"/>
      <c r="P188" s="38"/>
    </row>
    <row r="189" spans="2:16" ht="16.5" thickBot="1" x14ac:dyDescent="0.3">
      <c r="E189" s="15"/>
      <c r="F189" s="1"/>
      <c r="G189" s="1"/>
      <c r="H189" s="15"/>
      <c r="I189" s="38"/>
      <c r="J189" s="40"/>
      <c r="K189" s="40"/>
      <c r="L189" s="37"/>
      <c r="M189" s="37"/>
      <c r="N189" s="39"/>
      <c r="O189" s="38"/>
      <c r="P189" s="38"/>
    </row>
    <row r="190" spans="2:16" x14ac:dyDescent="0.25">
      <c r="B190" s="19" t="s">
        <v>137</v>
      </c>
      <c r="E190" s="15"/>
      <c r="F190" s="34">
        <f>F188+F176</f>
        <v>67798488</v>
      </c>
      <c r="G190" s="34">
        <f>G188+G176</f>
        <v>68398552</v>
      </c>
      <c r="H190" s="34">
        <f>H188+H176</f>
        <v>82913817</v>
      </c>
      <c r="I190" s="34">
        <f>I188+I176</f>
        <v>106323266</v>
      </c>
      <c r="J190" s="34">
        <f>J188+J176</f>
        <v>195655639</v>
      </c>
      <c r="K190" s="40"/>
      <c r="L190" s="38"/>
      <c r="M190" s="38"/>
      <c r="N190" s="38"/>
      <c r="O190" s="40"/>
      <c r="P190" s="40"/>
    </row>
    <row r="191" spans="2:16" ht="16.5" thickBot="1" x14ac:dyDescent="0.3">
      <c r="E191" s="15"/>
      <c r="F191" s="1"/>
      <c r="G191" s="1"/>
      <c r="H191" s="15"/>
      <c r="I191" s="39"/>
      <c r="J191" s="38"/>
      <c r="K191" s="38"/>
      <c r="L191" s="38"/>
      <c r="M191" s="38"/>
      <c r="N191" s="38"/>
      <c r="O191" s="40"/>
      <c r="P191" s="40"/>
    </row>
    <row r="192" spans="2:16" x14ac:dyDescent="0.25">
      <c r="B192" s="19" t="s">
        <v>139</v>
      </c>
      <c r="C192" s="10"/>
      <c r="F192" s="34">
        <f>F190+F156</f>
        <v>99462594</v>
      </c>
      <c r="G192" s="34">
        <f>G190+G156</f>
        <v>123862243</v>
      </c>
      <c r="H192" s="34">
        <f>H190+H156</f>
        <v>124042613</v>
      </c>
      <c r="I192" s="34">
        <f>I190+I156</f>
        <v>120454785</v>
      </c>
      <c r="J192" s="34">
        <f>J190+J156</f>
        <v>228239417</v>
      </c>
      <c r="K192" s="38"/>
      <c r="L192" s="38"/>
      <c r="M192" s="38"/>
      <c r="N192" s="38"/>
      <c r="O192" s="40"/>
      <c r="P192" s="40"/>
    </row>
    <row r="193" spans="2:16" x14ac:dyDescent="0.25">
      <c r="B193" s="10"/>
      <c r="C193" s="10"/>
      <c r="F193" s="1"/>
      <c r="G193" s="1"/>
      <c r="H193" s="1"/>
      <c r="I193" s="39"/>
      <c r="J193" s="38"/>
      <c r="K193" s="38"/>
      <c r="L193" s="38"/>
      <c r="M193" s="38"/>
      <c r="N193" s="38"/>
      <c r="O193" s="40"/>
      <c r="P193" s="38"/>
    </row>
    <row r="194" spans="2:16" x14ac:dyDescent="0.25">
      <c r="B194" s="10" t="s">
        <v>140</v>
      </c>
      <c r="E194" s="15"/>
      <c r="F194" s="10"/>
      <c r="G194" s="10"/>
      <c r="H194" s="15"/>
      <c r="I194" s="38"/>
      <c r="J194" s="40"/>
      <c r="K194" s="40"/>
      <c r="L194" s="38"/>
      <c r="M194" s="38"/>
      <c r="N194" s="38"/>
      <c r="O194" s="40"/>
      <c r="P194" s="40"/>
    </row>
    <row r="195" spans="2:16" x14ac:dyDescent="0.25">
      <c r="F195" s="10"/>
      <c r="G195" s="10"/>
      <c r="H195" s="1"/>
      <c r="I195" s="38"/>
      <c r="J195" s="40"/>
      <c r="K195" s="40"/>
      <c r="L195" s="38"/>
      <c r="M195" s="38"/>
      <c r="N195" s="38"/>
      <c r="O195" s="40"/>
      <c r="P195" s="40"/>
    </row>
    <row r="196" spans="2:16" x14ac:dyDescent="0.25">
      <c r="B196" s="19" t="s">
        <v>141</v>
      </c>
      <c r="E196" s="15"/>
      <c r="F196" s="1"/>
      <c r="G196" s="1"/>
      <c r="H196" s="15"/>
      <c r="I196" s="1"/>
      <c r="J196" s="15"/>
      <c r="K196" s="40"/>
      <c r="L196" s="38"/>
      <c r="M196" s="38"/>
      <c r="N196" s="38"/>
      <c r="O196" s="40"/>
      <c r="P196" s="38"/>
    </row>
    <row r="197" spans="2:16" x14ac:dyDescent="0.25">
      <c r="B197" s="18" t="s">
        <v>142</v>
      </c>
      <c r="C197" s="18"/>
      <c r="D197" s="18"/>
      <c r="E197" s="15"/>
      <c r="F197" s="29">
        <v>4006959</v>
      </c>
      <c r="G197" s="29">
        <v>4853408</v>
      </c>
      <c r="H197" s="29">
        <v>5708506</v>
      </c>
      <c r="I197" s="29">
        <v>4732724</v>
      </c>
      <c r="J197" s="29">
        <v>20926719</v>
      </c>
      <c r="K197" s="40"/>
      <c r="L197" s="38"/>
      <c r="M197" s="38"/>
      <c r="N197" s="38"/>
      <c r="O197" s="40"/>
      <c r="P197" s="40"/>
    </row>
    <row r="198" spans="2:16" x14ac:dyDescent="0.25">
      <c r="B198" s="18" t="s">
        <v>143</v>
      </c>
      <c r="C198" s="18"/>
      <c r="D198" s="18"/>
      <c r="F198" s="29">
        <v>2114957</v>
      </c>
      <c r="G198" s="29">
        <v>1330700</v>
      </c>
      <c r="H198" s="29">
        <v>1982093</v>
      </c>
      <c r="I198" s="29">
        <v>1638600</v>
      </c>
      <c r="J198" s="29">
        <v>3763282</v>
      </c>
      <c r="K198" s="40"/>
      <c r="L198" s="38"/>
      <c r="M198" s="38"/>
      <c r="N198" s="38"/>
      <c r="O198" s="40"/>
      <c r="P198" s="40"/>
    </row>
    <row r="199" spans="2:16" x14ac:dyDescent="0.25">
      <c r="B199" s="18" t="s">
        <v>149</v>
      </c>
      <c r="C199" s="18"/>
      <c r="D199" s="18"/>
      <c r="F199" s="29">
        <v>1098425</v>
      </c>
      <c r="G199" s="29">
        <v>0</v>
      </c>
      <c r="H199" s="29">
        <v>0</v>
      </c>
      <c r="I199" s="29">
        <v>0</v>
      </c>
      <c r="J199" s="29">
        <v>0</v>
      </c>
      <c r="K199" s="40"/>
      <c r="L199" s="38"/>
      <c r="M199" s="38"/>
      <c r="N199" s="38"/>
      <c r="O199" s="40"/>
      <c r="P199" s="40"/>
    </row>
    <row r="200" spans="2:16" x14ac:dyDescent="0.25">
      <c r="B200" s="18" t="s">
        <v>144</v>
      </c>
      <c r="C200" s="18"/>
      <c r="D200" s="18"/>
      <c r="E200" s="15"/>
      <c r="F200" s="29">
        <v>239824</v>
      </c>
      <c r="G200" s="29">
        <v>0</v>
      </c>
      <c r="H200" s="29">
        <v>118770</v>
      </c>
      <c r="I200" s="29">
        <v>487548</v>
      </c>
      <c r="J200" s="29">
        <v>0</v>
      </c>
      <c r="K200" s="40"/>
      <c r="L200" s="37"/>
      <c r="M200" s="37"/>
      <c r="N200" s="38"/>
      <c r="O200" s="38"/>
      <c r="P200" s="38"/>
    </row>
    <row r="201" spans="2:16" x14ac:dyDescent="0.25">
      <c r="B201" s="18" t="s">
        <v>145</v>
      </c>
      <c r="C201" s="18"/>
      <c r="D201" s="18"/>
      <c r="E201" s="15"/>
      <c r="F201" s="29">
        <v>0</v>
      </c>
      <c r="G201" s="29">
        <v>35299</v>
      </c>
      <c r="H201" s="29">
        <v>86473</v>
      </c>
      <c r="I201" s="29">
        <v>121135</v>
      </c>
      <c r="J201" s="29">
        <v>271494</v>
      </c>
      <c r="K201" s="38"/>
      <c r="L201" s="38"/>
      <c r="M201" s="38"/>
      <c r="N201" s="38"/>
      <c r="O201" s="40"/>
      <c r="P201" s="40"/>
    </row>
    <row r="202" spans="2:16" x14ac:dyDescent="0.25">
      <c r="B202" s="18" t="s">
        <v>148</v>
      </c>
      <c r="C202" s="18"/>
      <c r="D202" s="18"/>
      <c r="E202" s="15"/>
      <c r="F202" s="29">
        <v>85207</v>
      </c>
      <c r="G202" s="29">
        <v>0</v>
      </c>
      <c r="H202" s="29">
        <v>0</v>
      </c>
      <c r="I202" s="29">
        <v>0</v>
      </c>
      <c r="J202" s="29">
        <v>0</v>
      </c>
      <c r="K202" s="40"/>
      <c r="L202" s="38"/>
      <c r="M202" s="38"/>
      <c r="N202" s="38"/>
      <c r="O202" s="40"/>
      <c r="P202" s="40"/>
    </row>
    <row r="203" spans="2:16" ht="16.5" thickBot="1" x14ac:dyDescent="0.3">
      <c r="B203" s="18" t="s">
        <v>146</v>
      </c>
      <c r="C203" s="18"/>
      <c r="D203" s="18"/>
      <c r="E203" s="15"/>
      <c r="F203" s="29">
        <v>0</v>
      </c>
      <c r="G203" s="29">
        <v>0</v>
      </c>
      <c r="H203" s="29">
        <v>0</v>
      </c>
      <c r="I203" s="29">
        <v>0</v>
      </c>
      <c r="J203" s="29">
        <v>0</v>
      </c>
      <c r="K203" s="40"/>
      <c r="L203" s="38"/>
      <c r="M203" s="38"/>
      <c r="N203" s="38"/>
      <c r="O203" s="40"/>
      <c r="P203" s="40"/>
    </row>
    <row r="204" spans="2:16" x14ac:dyDescent="0.25">
      <c r="B204" s="19" t="s">
        <v>147</v>
      </c>
      <c r="C204" s="18"/>
      <c r="D204" s="18"/>
      <c r="F204" s="34">
        <f>SUM(F197:F203)</f>
        <v>7545372</v>
      </c>
      <c r="G204" s="34">
        <f t="shared" ref="G204:J204" si="38">SUM(G197:G203)</f>
        <v>6219407</v>
      </c>
      <c r="H204" s="34">
        <f t="shared" si="38"/>
        <v>7895842</v>
      </c>
      <c r="I204" s="34">
        <f t="shared" si="38"/>
        <v>6980007</v>
      </c>
      <c r="J204" s="34">
        <f t="shared" si="38"/>
        <v>24961495</v>
      </c>
      <c r="K204" s="38"/>
      <c r="L204" s="39"/>
      <c r="M204" s="39"/>
      <c r="N204" s="39"/>
      <c r="O204" s="40"/>
      <c r="P204" s="40"/>
    </row>
    <row r="205" spans="2:16" x14ac:dyDescent="0.25">
      <c r="B205" s="10"/>
      <c r="C205" s="37"/>
      <c r="D205" s="39"/>
      <c r="E205" s="38"/>
      <c r="F205" s="38"/>
      <c r="G205" s="38"/>
      <c r="H205" s="38"/>
      <c r="I205" s="38"/>
      <c r="J205" s="40"/>
      <c r="K205" s="40"/>
      <c r="L205" s="39"/>
      <c r="M205" s="39"/>
      <c r="N205" s="38"/>
      <c r="O205" s="38"/>
      <c r="P205" s="38"/>
    </row>
    <row r="206" spans="2:16" x14ac:dyDescent="0.25">
      <c r="B206" s="19" t="s">
        <v>150</v>
      </c>
      <c r="C206" s="38"/>
      <c r="D206" s="39"/>
      <c r="E206" s="38"/>
      <c r="F206" s="38"/>
      <c r="G206" s="38"/>
      <c r="H206" s="38"/>
      <c r="I206" s="38"/>
      <c r="J206" s="40"/>
      <c r="K206" s="40"/>
      <c r="L206" s="37"/>
      <c r="M206" s="37"/>
      <c r="N206" s="39"/>
      <c r="O206" s="38"/>
      <c r="P206" s="38"/>
    </row>
    <row r="207" spans="2:16" x14ac:dyDescent="0.25">
      <c r="B207" s="18" t="s">
        <v>151</v>
      </c>
      <c r="C207" s="41"/>
      <c r="D207" s="10"/>
      <c r="E207" s="15"/>
      <c r="F207" s="29">
        <v>0</v>
      </c>
      <c r="G207" s="29">
        <v>0</v>
      </c>
      <c r="H207" s="29">
        <v>0</v>
      </c>
      <c r="I207" s="29">
        <v>0</v>
      </c>
      <c r="J207" s="29">
        <v>50500000</v>
      </c>
      <c r="K207" s="38"/>
      <c r="L207" s="38"/>
      <c r="M207" s="38"/>
      <c r="N207" s="39"/>
      <c r="O207" s="40"/>
      <c r="P207" s="40"/>
    </row>
    <row r="208" spans="2:16" x14ac:dyDescent="0.25">
      <c r="B208" s="18" t="s">
        <v>155</v>
      </c>
      <c r="E208" s="15"/>
      <c r="F208" s="29">
        <v>2748449</v>
      </c>
      <c r="G208" s="29">
        <v>2780237</v>
      </c>
      <c r="H208" s="29">
        <v>3502952</v>
      </c>
      <c r="I208" s="29">
        <v>3652296</v>
      </c>
      <c r="J208" s="29">
        <v>7437960</v>
      </c>
      <c r="K208" s="40"/>
      <c r="L208" s="38"/>
      <c r="M208" s="38"/>
      <c r="N208" s="39"/>
      <c r="O208" s="40"/>
      <c r="P208" s="38"/>
    </row>
    <row r="209" spans="2:16" x14ac:dyDescent="0.25">
      <c r="B209" s="18" t="s">
        <v>153</v>
      </c>
      <c r="E209" s="15"/>
      <c r="F209" s="29">
        <v>9905440</v>
      </c>
      <c r="G209" s="29">
        <v>10617394</v>
      </c>
      <c r="H209" s="29">
        <v>11553943</v>
      </c>
      <c r="I209" s="29">
        <v>12738577</v>
      </c>
      <c r="J209" s="29">
        <v>12855585</v>
      </c>
      <c r="K209" s="40"/>
      <c r="L209" s="38"/>
      <c r="M209" s="38"/>
      <c r="N209" s="39"/>
      <c r="O209" s="40"/>
      <c r="P209" s="40"/>
    </row>
    <row r="210" spans="2:16" x14ac:dyDescent="0.25">
      <c r="B210" s="18" t="s">
        <v>154</v>
      </c>
      <c r="E210" s="15"/>
      <c r="F210" s="29">
        <v>0</v>
      </c>
      <c r="G210" s="29">
        <v>0</v>
      </c>
      <c r="H210" s="29">
        <v>476911</v>
      </c>
      <c r="I210" s="29">
        <v>355776</v>
      </c>
      <c r="J210" s="29">
        <v>340052</v>
      </c>
      <c r="K210" s="38"/>
      <c r="L210" s="38"/>
      <c r="M210" s="38"/>
      <c r="N210" s="39"/>
      <c r="O210" s="40"/>
      <c r="P210" s="40"/>
    </row>
    <row r="211" spans="2:16" ht="16.5" thickBot="1" x14ac:dyDescent="0.3">
      <c r="B211" s="18" t="s">
        <v>156</v>
      </c>
      <c r="E211" s="15"/>
      <c r="F211" s="29">
        <v>0</v>
      </c>
      <c r="G211" s="29">
        <v>0</v>
      </c>
      <c r="H211" s="29">
        <v>0</v>
      </c>
      <c r="I211" s="29">
        <v>0</v>
      </c>
      <c r="J211" s="29">
        <v>7411971</v>
      </c>
      <c r="K211" s="38"/>
      <c r="L211" s="38"/>
      <c r="M211" s="38"/>
      <c r="N211" s="39"/>
      <c r="O211" s="40"/>
      <c r="P211" s="40"/>
    </row>
    <row r="212" spans="2:16" x14ac:dyDescent="0.25">
      <c r="B212" s="19" t="s">
        <v>157</v>
      </c>
      <c r="E212" s="15"/>
      <c r="F212" s="34">
        <f>SUM(F207:F211)</f>
        <v>12653889</v>
      </c>
      <c r="G212" s="34">
        <f t="shared" ref="G212:J212" si="39">SUM(G207:G211)</f>
        <v>13397631</v>
      </c>
      <c r="H212" s="34">
        <f t="shared" si="39"/>
        <v>15533806</v>
      </c>
      <c r="I212" s="34">
        <f t="shared" si="39"/>
        <v>16746649</v>
      </c>
      <c r="J212" s="34">
        <f t="shared" si="39"/>
        <v>78545568</v>
      </c>
      <c r="K212" s="38"/>
      <c r="L212" s="38"/>
      <c r="M212" s="38"/>
      <c r="N212" s="39"/>
      <c r="O212" s="40"/>
      <c r="P212" s="40"/>
    </row>
    <row r="213" spans="2:16" ht="16.5" thickBot="1" x14ac:dyDescent="0.3">
      <c r="E213" s="15"/>
      <c r="F213" s="10"/>
      <c r="G213" s="10"/>
      <c r="H213" s="15"/>
      <c r="I213" s="39"/>
      <c r="J213" s="40"/>
      <c r="K213" s="40"/>
      <c r="L213" s="39"/>
      <c r="M213" s="39"/>
      <c r="N213" s="38"/>
      <c r="O213" s="40"/>
      <c r="P213" s="40"/>
    </row>
    <row r="214" spans="2:16" x14ac:dyDescent="0.25">
      <c r="B214" s="19" t="s">
        <v>158</v>
      </c>
      <c r="F214" s="34">
        <f>F212+F204</f>
        <v>20199261</v>
      </c>
      <c r="G214" s="34">
        <f t="shared" ref="G214:J214" si="40">G212+G204</f>
        <v>19617038</v>
      </c>
      <c r="H214" s="34">
        <f t="shared" si="40"/>
        <v>23429648</v>
      </c>
      <c r="I214" s="34">
        <f t="shared" si="40"/>
        <v>23726656</v>
      </c>
      <c r="J214" s="34">
        <f t="shared" si="40"/>
        <v>103507063</v>
      </c>
      <c r="K214" s="38"/>
    </row>
    <row r="215" spans="2:16" x14ac:dyDescent="0.25">
      <c r="E215" s="15"/>
      <c r="F215" s="10"/>
      <c r="G215" s="10"/>
      <c r="H215" s="15"/>
      <c r="I215" s="39"/>
      <c r="J215" s="40"/>
      <c r="K215" s="40"/>
    </row>
    <row r="216" spans="2:16" x14ac:dyDescent="0.25">
      <c r="B216" s="10" t="s">
        <v>165</v>
      </c>
      <c r="C216" s="41"/>
      <c r="F216" s="1"/>
      <c r="G216" s="1"/>
      <c r="H216" s="1"/>
      <c r="I216" s="39"/>
      <c r="K216" s="40"/>
    </row>
    <row r="217" spans="2:16" x14ac:dyDescent="0.25">
      <c r="B217" s="10"/>
      <c r="C217" s="41"/>
      <c r="F217" s="1"/>
      <c r="G217" s="1"/>
      <c r="H217" s="1"/>
      <c r="I217" s="39"/>
      <c r="K217" s="40"/>
    </row>
    <row r="218" spans="2:16" x14ac:dyDescent="0.25">
      <c r="B218" s="18" t="s">
        <v>198</v>
      </c>
      <c r="E218" s="15"/>
      <c r="F218" s="29">
        <v>0</v>
      </c>
      <c r="G218" s="29">
        <v>0</v>
      </c>
      <c r="H218" s="29">
        <v>0</v>
      </c>
      <c r="I218" s="29">
        <v>0</v>
      </c>
      <c r="J218" s="29">
        <v>0</v>
      </c>
      <c r="K218" s="40"/>
    </row>
    <row r="219" spans="2:16" x14ac:dyDescent="0.25">
      <c r="B219" s="18" t="s">
        <v>159</v>
      </c>
      <c r="E219" s="15"/>
      <c r="F219" s="29">
        <v>131815739</v>
      </c>
      <c r="G219" s="29">
        <v>123904965</v>
      </c>
      <c r="H219" s="29">
        <v>118272565</v>
      </c>
      <c r="I219" s="29">
        <v>116081031</v>
      </c>
      <c r="J219" s="29">
        <v>154274125</v>
      </c>
      <c r="K219" s="40"/>
    </row>
    <row r="220" spans="2:16" x14ac:dyDescent="0.25">
      <c r="B220" s="18" t="s">
        <v>162</v>
      </c>
      <c r="E220" s="15"/>
      <c r="F220" s="29">
        <v>8835203</v>
      </c>
      <c r="G220" s="29">
        <v>9856229</v>
      </c>
      <c r="H220" s="29">
        <v>10874491</v>
      </c>
      <c r="I220" s="29">
        <v>12118907</v>
      </c>
      <c r="J220" s="29">
        <v>13863824</v>
      </c>
      <c r="K220" s="40"/>
    </row>
    <row r="221" spans="2:16" x14ac:dyDescent="0.25">
      <c r="B221" s="18" t="s">
        <v>160</v>
      </c>
      <c r="C221" s="10"/>
      <c r="D221" s="10"/>
      <c r="E221" s="15"/>
      <c r="F221" s="29">
        <v>-2423007</v>
      </c>
      <c r="G221" s="29">
        <v>0</v>
      </c>
      <c r="H221" s="29">
        <v>-360326</v>
      </c>
      <c r="I221" s="29">
        <v>0</v>
      </c>
      <c r="J221" s="29">
        <v>0</v>
      </c>
    </row>
    <row r="222" spans="2:16" x14ac:dyDescent="0.25">
      <c r="B222" s="18" t="s">
        <v>163</v>
      </c>
      <c r="C222" s="10"/>
      <c r="D222" s="10"/>
      <c r="E222" s="15"/>
      <c r="F222" s="29">
        <v>9818605</v>
      </c>
      <c r="G222" s="29">
        <v>9774551</v>
      </c>
      <c r="H222" s="29">
        <v>9772277</v>
      </c>
      <c r="I222" s="29">
        <v>10033267</v>
      </c>
      <c r="J222" s="29">
        <v>9896567</v>
      </c>
    </row>
    <row r="223" spans="2:16" x14ac:dyDescent="0.25">
      <c r="B223" s="18" t="s">
        <v>164</v>
      </c>
      <c r="E223" s="15"/>
      <c r="F223" s="29">
        <v>-68783207</v>
      </c>
      <c r="G223" s="29">
        <v>-39290540</v>
      </c>
      <c r="H223" s="29">
        <v>-37946042</v>
      </c>
      <c r="I223" s="29">
        <v>-41505076</v>
      </c>
      <c r="J223" s="29">
        <v>-53302162</v>
      </c>
    </row>
    <row r="224" spans="2:16" ht="16.5" thickBot="1" x14ac:dyDescent="0.3">
      <c r="B224" s="18"/>
      <c r="E224" s="15"/>
      <c r="F224" s="10"/>
      <c r="G224" s="10"/>
      <c r="H224" s="15"/>
      <c r="J224" s="1"/>
    </row>
    <row r="225" spans="1:12" x14ac:dyDescent="0.25">
      <c r="B225" s="19" t="s">
        <v>161</v>
      </c>
      <c r="E225" s="15"/>
      <c r="F225" s="34">
        <f>SUM(F218:F223)</f>
        <v>79263333</v>
      </c>
      <c r="G225" s="34">
        <f t="shared" ref="G225:J225" si="41">SUM(G218:G223)</f>
        <v>104245205</v>
      </c>
      <c r="H225" s="34">
        <f t="shared" si="41"/>
        <v>100612965</v>
      </c>
      <c r="I225" s="34">
        <f t="shared" si="41"/>
        <v>96728129</v>
      </c>
      <c r="J225" s="34">
        <f t="shared" si="41"/>
        <v>124732354</v>
      </c>
    </row>
    <row r="226" spans="1:12" ht="16.5" thickBot="1" x14ac:dyDescent="0.3">
      <c r="B226" s="10"/>
      <c r="C226" s="10"/>
      <c r="D226" s="10"/>
      <c r="E226" s="15"/>
      <c r="F226" s="10"/>
      <c r="G226" s="10"/>
      <c r="H226" s="15"/>
    </row>
    <row r="227" spans="1:12" x14ac:dyDescent="0.25">
      <c r="B227" s="10" t="s">
        <v>166</v>
      </c>
      <c r="F227" s="34">
        <f>F225+F214</f>
        <v>99462594</v>
      </c>
      <c r="G227" s="34">
        <f t="shared" ref="G227:J227" si="42">G225+G214</f>
        <v>123862243</v>
      </c>
      <c r="H227" s="34">
        <f t="shared" si="42"/>
        <v>124042613</v>
      </c>
      <c r="I227" s="34">
        <f t="shared" si="42"/>
        <v>120454785</v>
      </c>
      <c r="J227" s="34">
        <f t="shared" si="42"/>
        <v>228239417</v>
      </c>
    </row>
    <row r="228" spans="1:12" ht="16.5" thickBot="1" x14ac:dyDescent="0.3">
      <c r="B228" s="10"/>
    </row>
    <row r="229" spans="1:12" x14ac:dyDescent="0.25">
      <c r="B229" s="10" t="s">
        <v>167</v>
      </c>
      <c r="F229" s="34">
        <f>F192-F227</f>
        <v>0</v>
      </c>
      <c r="G229" s="34">
        <f t="shared" ref="G229:J229" si="43">G192-G227</f>
        <v>0</v>
      </c>
      <c r="H229" s="34">
        <f t="shared" si="43"/>
        <v>0</v>
      </c>
      <c r="I229" s="34">
        <f t="shared" si="43"/>
        <v>0</v>
      </c>
      <c r="J229" s="34">
        <f t="shared" si="43"/>
        <v>0</v>
      </c>
    </row>
    <row r="231" spans="1:12" x14ac:dyDescent="0.25">
      <c r="B231" s="41"/>
      <c r="C231" s="41"/>
      <c r="D231" s="10"/>
      <c r="F231" s="10"/>
      <c r="G231" s="10"/>
      <c r="H231" s="1"/>
    </row>
    <row r="232" spans="1:12" ht="23.25" x14ac:dyDescent="0.35">
      <c r="A232" s="1" t="s">
        <v>185</v>
      </c>
      <c r="B232" s="46" t="s">
        <v>168</v>
      </c>
      <c r="C232" s="53"/>
      <c r="D232" s="53"/>
      <c r="E232" s="53"/>
      <c r="F232" s="54"/>
      <c r="G232" s="54"/>
      <c r="H232" s="54"/>
      <c r="I232" s="54"/>
      <c r="J232" s="54"/>
      <c r="K232" s="53"/>
      <c r="L232" s="53"/>
    </row>
    <row r="233" spans="1:12" x14ac:dyDescent="0.25">
      <c r="D233" s="10"/>
      <c r="E233" s="15"/>
      <c r="F233" s="10"/>
      <c r="G233" s="10"/>
      <c r="H233" s="15"/>
    </row>
    <row r="234" spans="1:12" ht="16.5" thickBot="1" x14ac:dyDescent="0.3">
      <c r="D234" s="10"/>
      <c r="E234" s="15"/>
      <c r="F234" s="31">
        <v>2021</v>
      </c>
      <c r="G234" s="31">
        <f>F234+1</f>
        <v>2022</v>
      </c>
      <c r="H234" s="31">
        <f t="shared" ref="H234" si="44">G234+1</f>
        <v>2023</v>
      </c>
      <c r="I234" s="31">
        <f t="shared" ref="I234" si="45">H234+1</f>
        <v>2024</v>
      </c>
      <c r="J234" s="31">
        <f t="shared" ref="J234" si="46">I234+1</f>
        <v>2025</v>
      </c>
    </row>
    <row r="235" spans="1:12" x14ac:dyDescent="0.25">
      <c r="D235" s="10"/>
      <c r="E235" s="15"/>
      <c r="F235" s="10"/>
      <c r="G235" s="10"/>
      <c r="H235" s="15"/>
      <c r="I235" s="13"/>
      <c r="J235" s="13"/>
    </row>
    <row r="236" spans="1:12" x14ac:dyDescent="0.25">
      <c r="B236" s="1" t="s">
        <v>171</v>
      </c>
      <c r="D236" s="10"/>
      <c r="E236" s="15"/>
      <c r="F236" s="29">
        <v>24202218</v>
      </c>
      <c r="G236" s="29">
        <v>23117144</v>
      </c>
      <c r="H236" s="29">
        <v>22222722</v>
      </c>
      <c r="I236" s="29">
        <v>22008766</v>
      </c>
      <c r="J236" s="29">
        <v>30239980</v>
      </c>
    </row>
    <row r="237" spans="1:12" x14ac:dyDescent="0.25">
      <c r="B237" s="1" t="s">
        <v>169</v>
      </c>
      <c r="D237" s="10"/>
      <c r="E237" s="15"/>
      <c r="F237" s="29">
        <v>534015</v>
      </c>
      <c r="G237" s="29">
        <v>0</v>
      </c>
      <c r="H237" s="29">
        <v>70874</v>
      </c>
      <c r="I237" s="29">
        <v>0</v>
      </c>
      <c r="J237" s="29">
        <v>0</v>
      </c>
    </row>
    <row r="238" spans="1:12" x14ac:dyDescent="0.25">
      <c r="B238" s="1" t="s">
        <v>172</v>
      </c>
      <c r="C238" s="10"/>
      <c r="E238" s="15"/>
      <c r="F238" s="29">
        <v>23668203</v>
      </c>
      <c r="G238" s="29">
        <v>23117144</v>
      </c>
      <c r="H238" s="29">
        <v>22151848</v>
      </c>
      <c r="I238" s="29">
        <v>22008766</v>
      </c>
      <c r="J238" s="29">
        <v>30239980</v>
      </c>
    </row>
    <row r="239" spans="1:12" x14ac:dyDescent="0.25">
      <c r="B239" s="1" t="s">
        <v>170</v>
      </c>
      <c r="C239" s="10"/>
      <c r="E239" s="15"/>
      <c r="F239" s="29">
        <v>0</v>
      </c>
      <c r="G239" s="29">
        <v>0</v>
      </c>
      <c r="H239" s="29">
        <v>0</v>
      </c>
      <c r="I239" s="29">
        <v>0</v>
      </c>
      <c r="J239" s="29">
        <v>0</v>
      </c>
    </row>
    <row r="240" spans="1:12" x14ac:dyDescent="0.25">
      <c r="B240" s="10" t="s">
        <v>173</v>
      </c>
      <c r="C240" s="10"/>
      <c r="E240" s="47"/>
      <c r="F240" s="29">
        <f>F239+F238</f>
        <v>23668203</v>
      </c>
      <c r="G240" s="29">
        <f t="shared" ref="G240:J240" si="47">G239+G238</f>
        <v>23117144</v>
      </c>
      <c r="H240" s="29">
        <f t="shared" si="47"/>
        <v>22151848</v>
      </c>
      <c r="I240" s="29">
        <f t="shared" si="47"/>
        <v>22008766</v>
      </c>
      <c r="J240" s="29">
        <f t="shared" si="47"/>
        <v>30239980</v>
      </c>
    </row>
    <row r="241" spans="1:12" x14ac:dyDescent="0.25">
      <c r="B241" s="10" t="s">
        <v>174</v>
      </c>
      <c r="C241" s="10"/>
      <c r="E241" s="15"/>
      <c r="F241" s="49">
        <f>(F240/23985799)-1</f>
        <v>-1.324100147758267E-2</v>
      </c>
      <c r="G241" s="49">
        <f>(G240/F240)-1</f>
        <v>-2.3282671692481216E-2</v>
      </c>
      <c r="H241" s="49">
        <f t="shared" ref="H241:J241" si="48">(H240/G240)-1</f>
        <v>-4.1756715275900858E-2</v>
      </c>
      <c r="I241" s="49">
        <f t="shared" si="48"/>
        <v>-6.4591450790020266E-3</v>
      </c>
      <c r="J241" s="49">
        <f t="shared" si="48"/>
        <v>0.37399707007653227</v>
      </c>
    </row>
    <row r="242" spans="1:12" x14ac:dyDescent="0.25">
      <c r="B242" s="1" t="s">
        <v>176</v>
      </c>
      <c r="D242" s="10"/>
      <c r="E242" s="15"/>
      <c r="F242" s="29">
        <v>23705193</v>
      </c>
      <c r="G242" s="29">
        <v>23319633</v>
      </c>
      <c r="H242" s="29">
        <v>22496772</v>
      </c>
      <c r="I242" s="29">
        <v>21930277</v>
      </c>
      <c r="J242" s="29">
        <v>23020672</v>
      </c>
    </row>
    <row r="243" spans="1:12" x14ac:dyDescent="0.25">
      <c r="B243" s="1" t="s">
        <v>175</v>
      </c>
      <c r="D243" s="10"/>
      <c r="E243" s="15"/>
      <c r="F243" s="29">
        <v>23857102</v>
      </c>
      <c r="G243" s="29">
        <v>23406189</v>
      </c>
      <c r="H243" s="29">
        <v>22511647</v>
      </c>
      <c r="I243" s="29">
        <v>21930277</v>
      </c>
      <c r="J243" s="29">
        <v>23020672</v>
      </c>
    </row>
    <row r="244" spans="1:12" x14ac:dyDescent="0.25">
      <c r="B244" s="10"/>
      <c r="C244" s="10"/>
      <c r="E244" s="15"/>
      <c r="F244" s="1"/>
      <c r="G244" s="1"/>
      <c r="H244" s="15"/>
    </row>
    <row r="245" spans="1:12" x14ac:dyDescent="0.25">
      <c r="B245" s="10"/>
      <c r="C245" s="10"/>
      <c r="E245" s="15"/>
      <c r="F245" s="1"/>
      <c r="G245" s="1"/>
      <c r="H245" s="15"/>
    </row>
    <row r="246" spans="1:12" ht="23.25" x14ac:dyDescent="0.35">
      <c r="A246" s="1" t="s">
        <v>185</v>
      </c>
      <c r="B246" s="46" t="s">
        <v>177</v>
      </c>
      <c r="C246" s="53"/>
      <c r="D246" s="53"/>
      <c r="E246" s="53"/>
      <c r="F246" s="54"/>
      <c r="G246" s="54"/>
      <c r="H246" s="54"/>
      <c r="I246" s="54"/>
      <c r="J246" s="54"/>
      <c r="K246" s="53"/>
      <c r="L246" s="53"/>
    </row>
    <row r="247" spans="1:12" ht="23.25" x14ac:dyDescent="0.35">
      <c r="C247" s="48"/>
      <c r="D247" s="10"/>
      <c r="E247" s="10"/>
      <c r="F247" s="10"/>
      <c r="G247" s="10"/>
      <c r="H247" s="13"/>
    </row>
    <row r="248" spans="1:12" ht="16.5" thickBot="1" x14ac:dyDescent="0.3">
      <c r="F248" s="31">
        <v>2021</v>
      </c>
      <c r="G248" s="31">
        <f>F248+1</f>
        <v>2022</v>
      </c>
      <c r="H248" s="31">
        <f t="shared" ref="H248" si="49">G248+1</f>
        <v>2023</v>
      </c>
      <c r="I248" s="31">
        <f t="shared" ref="I248" si="50">H248+1</f>
        <v>2024</v>
      </c>
      <c r="J248" s="31">
        <f t="shared" ref="J248" si="51">I248+1</f>
        <v>2025</v>
      </c>
    </row>
    <row r="249" spans="1:12" x14ac:dyDescent="0.25">
      <c r="F249" s="50"/>
      <c r="G249" s="50"/>
      <c r="H249" s="50"/>
      <c r="I249" s="50"/>
      <c r="J249" s="50"/>
    </row>
    <row r="250" spans="1:12" x14ac:dyDescent="0.25">
      <c r="B250" s="1" t="s">
        <v>146</v>
      </c>
      <c r="F250" s="29">
        <f>F203</f>
        <v>0</v>
      </c>
      <c r="G250" s="29">
        <f t="shared" ref="G250:J250" si="52">G203</f>
        <v>0</v>
      </c>
      <c r="H250" s="29">
        <f t="shared" si="52"/>
        <v>0</v>
      </c>
      <c r="I250" s="29">
        <f t="shared" si="52"/>
        <v>0</v>
      </c>
      <c r="J250" s="29">
        <f t="shared" si="52"/>
        <v>0</v>
      </c>
    </row>
    <row r="251" spans="1:12" x14ac:dyDescent="0.25">
      <c r="B251" s="1" t="s">
        <v>152</v>
      </c>
      <c r="F251" s="29">
        <f>F207</f>
        <v>0</v>
      </c>
      <c r="G251" s="29">
        <f t="shared" ref="G251:J251" si="53">G207</f>
        <v>0</v>
      </c>
      <c r="H251" s="29">
        <f t="shared" si="53"/>
        <v>0</v>
      </c>
      <c r="I251" s="29">
        <f t="shared" si="53"/>
        <v>0</v>
      </c>
      <c r="J251" s="29">
        <f t="shared" si="53"/>
        <v>50500000</v>
      </c>
    </row>
    <row r="252" spans="1:12" x14ac:dyDescent="0.25">
      <c r="B252" s="1" t="s">
        <v>178</v>
      </c>
      <c r="F252" s="29">
        <f>F250+F251</f>
        <v>0</v>
      </c>
      <c r="G252" s="29">
        <f t="shared" ref="G252:J252" si="54">G250+G251</f>
        <v>0</v>
      </c>
      <c r="H252" s="29">
        <f t="shared" si="54"/>
        <v>0</v>
      </c>
      <c r="I252" s="29">
        <f t="shared" si="54"/>
        <v>0</v>
      </c>
      <c r="J252" s="29">
        <f t="shared" si="54"/>
        <v>50500000</v>
      </c>
    </row>
    <row r="253" spans="1:12" x14ac:dyDescent="0.25">
      <c r="B253" s="1" t="s">
        <v>106</v>
      </c>
      <c r="F253" s="29">
        <f>F139</f>
        <v>26497305</v>
      </c>
      <c r="G253" s="29">
        <f t="shared" ref="G253:J253" si="55">G139</f>
        <v>45236584</v>
      </c>
      <c r="H253" s="29">
        <f t="shared" si="55"/>
        <v>13403628</v>
      </c>
      <c r="I253" s="29">
        <f t="shared" si="55"/>
        <v>6519793</v>
      </c>
      <c r="J253" s="29">
        <f t="shared" si="55"/>
        <v>8959954</v>
      </c>
    </row>
    <row r="254" spans="1:12" x14ac:dyDescent="0.25">
      <c r="B254" s="1" t="s">
        <v>107</v>
      </c>
      <c r="F254" s="29">
        <f>F140</f>
        <v>568118</v>
      </c>
      <c r="G254" s="29">
        <f t="shared" ref="G254:J254" si="56">G140</f>
        <v>570363</v>
      </c>
      <c r="H254" s="29">
        <f t="shared" si="56"/>
        <v>470000</v>
      </c>
      <c r="I254" s="29">
        <f t="shared" si="56"/>
        <v>470000</v>
      </c>
      <c r="J254" s="29">
        <f t="shared" si="56"/>
        <v>553000</v>
      </c>
    </row>
    <row r="255" spans="1:12" x14ac:dyDescent="0.25">
      <c r="B255" s="1" t="s">
        <v>114</v>
      </c>
      <c r="F255" s="29">
        <f>F150</f>
        <v>0</v>
      </c>
      <c r="G255" s="29">
        <f t="shared" ref="G255:J255" si="57">G150</f>
        <v>0</v>
      </c>
      <c r="H255" s="29">
        <f t="shared" si="57"/>
        <v>18775106</v>
      </c>
      <c r="I255" s="29">
        <f t="shared" si="57"/>
        <v>0</v>
      </c>
      <c r="J255" s="29">
        <f t="shared" si="57"/>
        <v>0</v>
      </c>
    </row>
    <row r="256" spans="1:12" x14ac:dyDescent="0.25">
      <c r="B256" s="10" t="s">
        <v>183</v>
      </c>
      <c r="F256" s="43">
        <f>F253+F255</f>
        <v>26497305</v>
      </c>
      <c r="G256" s="43">
        <f t="shared" ref="G256:J256" si="58">G253+G255</f>
        <v>45236584</v>
      </c>
      <c r="H256" s="43">
        <f t="shared" si="58"/>
        <v>32178734</v>
      </c>
      <c r="I256" s="43">
        <f t="shared" si="58"/>
        <v>6519793</v>
      </c>
      <c r="J256" s="43">
        <f t="shared" si="58"/>
        <v>8959954</v>
      </c>
    </row>
    <row r="257" spans="2:12" x14ac:dyDescent="0.25">
      <c r="B257" s="10" t="s">
        <v>179</v>
      </c>
      <c r="D257" s="10"/>
      <c r="E257" s="15"/>
      <c r="F257" s="43">
        <f>SUM(F253:F255)</f>
        <v>27065423</v>
      </c>
      <c r="G257" s="43">
        <f t="shared" ref="G257:J257" si="59">SUM(G253:G255)</f>
        <v>45806947</v>
      </c>
      <c r="H257" s="43">
        <f t="shared" si="59"/>
        <v>32648734</v>
      </c>
      <c r="I257" s="43">
        <f t="shared" si="59"/>
        <v>6989793</v>
      </c>
      <c r="J257" s="43">
        <f t="shared" si="59"/>
        <v>9512954</v>
      </c>
    </row>
    <row r="258" spans="2:12" x14ac:dyDescent="0.25">
      <c r="B258" s="10" t="s">
        <v>180</v>
      </c>
      <c r="D258" s="10"/>
      <c r="E258" s="15"/>
      <c r="F258" s="43">
        <f>F252-F253-F255</f>
        <v>-26497305</v>
      </c>
      <c r="G258" s="43">
        <f t="shared" ref="G258:J258" si="60">G252-G253-G255</f>
        <v>-45236584</v>
      </c>
      <c r="H258" s="43">
        <f t="shared" si="60"/>
        <v>-32178734</v>
      </c>
      <c r="I258" s="43">
        <f t="shared" si="60"/>
        <v>-6519793</v>
      </c>
      <c r="J258" s="43">
        <f t="shared" si="60"/>
        <v>41540046</v>
      </c>
    </row>
    <row r="259" spans="2:12" x14ac:dyDescent="0.25">
      <c r="B259" s="10" t="s">
        <v>181</v>
      </c>
      <c r="F259" s="55">
        <f>F258/F33</f>
        <v>-0.97275880833663464</v>
      </c>
      <c r="G259" s="55">
        <f>G258/G33</f>
        <v>-0.84693713061419529</v>
      </c>
      <c r="H259" s="55">
        <f>H258/H33</f>
        <v>-2.4557526628564625</v>
      </c>
      <c r="I259" s="55">
        <f>I258/I33</f>
        <v>-0.47905996926424121</v>
      </c>
      <c r="J259" s="55">
        <f>J258/J33</f>
        <v>25.131052181662096</v>
      </c>
    </row>
    <row r="260" spans="2:12" x14ac:dyDescent="0.25">
      <c r="B260" s="10" t="s">
        <v>182</v>
      </c>
      <c r="C260" s="10"/>
      <c r="D260" s="10"/>
      <c r="E260" s="10"/>
      <c r="F260" s="55">
        <f>F258/F34</f>
        <v>-0.97132179476295066</v>
      </c>
      <c r="G260" s="55">
        <f>G258/G34</f>
        <v>-0.84678580554776062</v>
      </c>
      <c r="H260" s="55">
        <f>H258/H34</f>
        <v>-2.4557526628564625</v>
      </c>
      <c r="I260" s="55">
        <f>I258/I34</f>
        <v>-0.47905996926424121</v>
      </c>
      <c r="J260" s="55">
        <f>J258/J34</f>
        <v>25.131052181662096</v>
      </c>
    </row>
    <row r="261" spans="2:12" x14ac:dyDescent="0.25">
      <c r="B261" s="10" t="s">
        <v>184</v>
      </c>
      <c r="F261" s="55">
        <f>F252/F225</f>
        <v>0</v>
      </c>
      <c r="G261" s="55">
        <f t="shared" ref="G261:J261" si="61">G252/G225</f>
        <v>0</v>
      </c>
      <c r="H261" s="55">
        <f t="shared" si="61"/>
        <v>0</v>
      </c>
      <c r="I261" s="55">
        <f t="shared" si="61"/>
        <v>0</v>
      </c>
      <c r="J261" s="55">
        <f t="shared" si="61"/>
        <v>0.40486688802489851</v>
      </c>
    </row>
    <row r="262" spans="2:12" x14ac:dyDescent="0.25">
      <c r="F262" s="1"/>
      <c r="G262" s="1"/>
    </row>
    <row r="263" spans="2:12" x14ac:dyDescent="0.25">
      <c r="F263" s="1"/>
      <c r="G263" s="1"/>
    </row>
    <row r="264" spans="2:12" ht="23.25" x14ac:dyDescent="0.35">
      <c r="B264" s="46" t="s">
        <v>187</v>
      </c>
      <c r="C264" s="53"/>
      <c r="D264" s="53"/>
      <c r="E264" s="53"/>
      <c r="F264" s="54"/>
      <c r="G264" s="54"/>
      <c r="H264" s="54"/>
      <c r="I264" s="54"/>
      <c r="J264" s="54"/>
      <c r="K264" s="53"/>
      <c r="L264" s="53"/>
    </row>
    <row r="265" spans="2:12" x14ac:dyDescent="0.25">
      <c r="B265" s="20"/>
      <c r="C265" s="20"/>
      <c r="D265" s="20"/>
      <c r="E265" s="20"/>
      <c r="F265" s="20"/>
      <c r="G265" s="20"/>
    </row>
    <row r="266" spans="2:12" ht="16.5" thickBot="1" x14ac:dyDescent="0.3">
      <c r="B266"/>
      <c r="C266"/>
      <c r="D266"/>
      <c r="E266"/>
      <c r="F266" s="31">
        <v>2021</v>
      </c>
      <c r="G266" s="31">
        <f>F266+1</f>
        <v>2022</v>
      </c>
      <c r="H266" s="31">
        <f t="shared" ref="H266" si="62">G266+1</f>
        <v>2023</v>
      </c>
      <c r="I266" s="31">
        <f t="shared" ref="I266" si="63">H266+1</f>
        <v>2024</v>
      </c>
      <c r="J266" s="31">
        <f t="shared" ref="J266" si="64">I266+1</f>
        <v>2025</v>
      </c>
    </row>
    <row r="267" spans="2:12" x14ac:dyDescent="0.25">
      <c r="B267"/>
      <c r="C267"/>
      <c r="D267"/>
      <c r="E267"/>
      <c r="F267"/>
      <c r="G267"/>
    </row>
    <row r="268" spans="2:12" x14ac:dyDescent="0.25">
      <c r="B268" t="s">
        <v>188</v>
      </c>
      <c r="C268"/>
      <c r="D268"/>
      <c r="E268"/>
      <c r="F268" s="56">
        <f>F14/F242</f>
        <v>1.788806022376616</v>
      </c>
      <c r="G268" s="56">
        <f>G14/G242</f>
        <v>3.0001633816449855</v>
      </c>
      <c r="H268" s="56">
        <f>H14/H242</f>
        <v>1.365962725674599</v>
      </c>
      <c r="I268" s="56">
        <f>I14/I242</f>
        <v>1.4374088845298214</v>
      </c>
      <c r="J268" s="56">
        <f>J14/J242</f>
        <v>2.2409231146684161</v>
      </c>
    </row>
    <row r="269" spans="2:12" x14ac:dyDescent="0.25">
      <c r="B269" t="s">
        <v>189</v>
      </c>
      <c r="C269"/>
      <c r="D269"/>
      <c r="E269"/>
      <c r="F269" s="56">
        <f>F33/F242</f>
        <v>1.1490873328894644</v>
      </c>
      <c r="G269" s="56">
        <f>G33/G242</f>
        <v>2.2904294420070848</v>
      </c>
      <c r="H269" s="56">
        <f>H33/H242</f>
        <v>0.58245734099096524</v>
      </c>
      <c r="I269" s="56">
        <f>I33/I242</f>
        <v>0.620582904629978</v>
      </c>
      <c r="J269" s="56">
        <f>J33/J242</f>
        <v>7.1802291436149218E-2</v>
      </c>
    </row>
    <row r="270" spans="2:12" x14ac:dyDescent="0.25">
      <c r="B270" t="s">
        <v>190</v>
      </c>
      <c r="C270"/>
      <c r="D270"/>
      <c r="E270"/>
      <c r="F270" s="56">
        <f>F34/F242</f>
        <v>1.15078734014104</v>
      </c>
      <c r="G270" s="56">
        <f>G34/G242</f>
        <v>2.2908387537659789</v>
      </c>
      <c r="H270" s="56">
        <f>H34/H242</f>
        <v>0.58245734099096524</v>
      </c>
      <c r="I270" s="56">
        <f>I34/I242</f>
        <v>0.620582904629978</v>
      </c>
      <c r="J270" s="56">
        <f>J34/J242</f>
        <v>7.1802291436149218E-2</v>
      </c>
    </row>
    <row r="271" spans="2:12" x14ac:dyDescent="0.25">
      <c r="B271" s="1" t="s">
        <v>191</v>
      </c>
      <c r="F271" s="56">
        <f>F35/F242</f>
        <v>1.1367885509305915</v>
      </c>
      <c r="G271" s="56">
        <f>G35/G242</f>
        <v>2.2813342302599704</v>
      </c>
      <c r="H271" s="56">
        <f>H35/H242</f>
        <v>0.64690529823567577</v>
      </c>
      <c r="I271" s="56">
        <f>I35/I242</f>
        <v>0.68670500605167917</v>
      </c>
      <c r="J271" s="56">
        <f>J35/J242</f>
        <v>1.207351505638063</v>
      </c>
    </row>
    <row r="272" spans="2:12" x14ac:dyDescent="0.25">
      <c r="F272" s="58"/>
      <c r="G272" s="58"/>
      <c r="H272" s="58"/>
      <c r="I272" s="58"/>
      <c r="J272" s="58"/>
    </row>
    <row r="273" spans="2:12" x14ac:dyDescent="0.25">
      <c r="B273" s="1" t="s">
        <v>200</v>
      </c>
      <c r="F273" s="56">
        <f>(F77+F93)/F242</f>
        <v>0.63776586843228822</v>
      </c>
      <c r="G273" s="56">
        <f>(G77+G93)/G242</f>
        <v>1.2836976036458208</v>
      </c>
      <c r="H273" s="56">
        <f>(H77+H93)/H242</f>
        <v>-0.10097377525984617</v>
      </c>
      <c r="I273" s="56">
        <f>(I77+I93)/I242</f>
        <v>-0.86180060561934535</v>
      </c>
      <c r="J273" s="56">
        <f>(J77+J93)/J242</f>
        <v>0.27070395686103343</v>
      </c>
    </row>
    <row r="274" spans="2:12" x14ac:dyDescent="0.25">
      <c r="B274" s="1" t="s">
        <v>199</v>
      </c>
      <c r="F274" s="56">
        <f>F77/F242</f>
        <v>0.84396600356723528</v>
      </c>
      <c r="G274" s="56">
        <f>G77/G242</f>
        <v>1.62975806694728</v>
      </c>
      <c r="H274" s="56">
        <f>H77/H242</f>
        <v>0.80848483506878233</v>
      </c>
      <c r="I274" s="56">
        <f>I77/I242</f>
        <v>0.76744488909100417</v>
      </c>
      <c r="J274" s="56">
        <f>J77/J242</f>
        <v>0.89570291431979054</v>
      </c>
    </row>
    <row r="275" spans="2:12" x14ac:dyDescent="0.25">
      <c r="F275" s="58"/>
      <c r="G275" s="58"/>
      <c r="H275" s="58"/>
      <c r="I275" s="58"/>
      <c r="J275" s="58"/>
    </row>
    <row r="276" spans="2:12" x14ac:dyDescent="0.25">
      <c r="B276" s="1" t="s">
        <v>192</v>
      </c>
      <c r="F276" s="56">
        <f>(F225-F218)/F240</f>
        <v>3.3489375175631206</v>
      </c>
      <c r="G276" s="56">
        <f>(G225-G218)/G240</f>
        <v>4.509432696357301</v>
      </c>
      <c r="H276" s="56">
        <f>(H225-H218)/H240</f>
        <v>4.5419671081166682</v>
      </c>
      <c r="I276" s="56">
        <f>(I225-I218)/I240</f>
        <v>4.3949819358341129</v>
      </c>
      <c r="J276" s="56">
        <f>(J225-J218)/J240</f>
        <v>4.1247498840938386</v>
      </c>
    </row>
    <row r="277" spans="2:12" x14ac:dyDescent="0.25">
      <c r="B277" s="1" t="s">
        <v>193</v>
      </c>
      <c r="F277" s="56">
        <f>(F225-F218-F180-F181)/F238</f>
        <v>3.3489375175631206</v>
      </c>
      <c r="G277" s="56">
        <f>(G225-G218-G180-G181)/G238</f>
        <v>4.509432696357301</v>
      </c>
      <c r="H277" s="56">
        <f>(H225-H218-H180-H181)/H238</f>
        <v>4.5419671081166682</v>
      </c>
      <c r="I277" s="56">
        <f>(I225-I218-I180-I181)/I238</f>
        <v>4.3949819358341129</v>
      </c>
      <c r="J277" s="56">
        <f>(J225-J218-J180-J181)/J238</f>
        <v>4.1247498840938386</v>
      </c>
    </row>
    <row r="278" spans="2:12" x14ac:dyDescent="0.25">
      <c r="F278" s="58"/>
      <c r="G278" s="58"/>
      <c r="H278" s="58"/>
      <c r="I278" s="58"/>
      <c r="J278" s="58"/>
    </row>
    <row r="279" spans="2:12" x14ac:dyDescent="0.25">
      <c r="B279" s="1" t="s">
        <v>194</v>
      </c>
      <c r="F279" s="56">
        <f>F46/F242</f>
        <v>0.49050505515816722</v>
      </c>
      <c r="G279" s="56">
        <f>G46/G242</f>
        <v>1.5160907120622353</v>
      </c>
      <c r="H279" s="56">
        <f>H46/H242</f>
        <v>0.30871775737425794</v>
      </c>
      <c r="I279" s="56">
        <f>I46/I242</f>
        <v>8.7905866396489202E-2</v>
      </c>
      <c r="J279" s="56">
        <f>J46/J242</f>
        <v>-0.25189807665041231</v>
      </c>
    </row>
    <row r="280" spans="2:12" x14ac:dyDescent="0.25">
      <c r="B280" s="1" t="s">
        <v>195</v>
      </c>
      <c r="F280" s="56">
        <f>F46/F243</f>
        <v>0.48738178677359889</v>
      </c>
      <c r="G280" s="56">
        <f>G46/G243</f>
        <v>1.5104842142392338</v>
      </c>
      <c r="H280" s="56">
        <f>H46/H243</f>
        <v>0.3085137662295433</v>
      </c>
      <c r="I280" s="56">
        <f>I46/I243</f>
        <v>8.7905866396489202E-2</v>
      </c>
      <c r="J280" s="56">
        <f>J46/J243</f>
        <v>-0.25189807665041231</v>
      </c>
    </row>
    <row r="283" spans="2:12" ht="23.25" x14ac:dyDescent="0.35">
      <c r="B283" s="46" t="s">
        <v>201</v>
      </c>
      <c r="C283" s="53"/>
      <c r="D283" s="53"/>
      <c r="E283" s="53"/>
      <c r="F283" s="54"/>
      <c r="G283" s="54"/>
      <c r="H283" s="54"/>
      <c r="I283" s="54"/>
      <c r="J283" s="54"/>
      <c r="K283" s="53"/>
      <c r="L283" s="53"/>
    </row>
    <row r="285" spans="2:12" ht="16.5" thickBot="1" x14ac:dyDescent="0.3">
      <c r="F285" s="31">
        <v>2021</v>
      </c>
      <c r="G285" s="31">
        <f>F285+1</f>
        <v>2022</v>
      </c>
      <c r="H285" s="31">
        <f t="shared" ref="H285" si="65">G285+1</f>
        <v>2023</v>
      </c>
      <c r="I285" s="31">
        <f t="shared" ref="I285" si="66">H285+1</f>
        <v>2024</v>
      </c>
      <c r="J285" s="31">
        <f t="shared" ref="J285" si="67">I285+1</f>
        <v>2025</v>
      </c>
    </row>
    <row r="287" spans="2:12" x14ac:dyDescent="0.25">
      <c r="B287" s="1" t="s">
        <v>202</v>
      </c>
      <c r="F287" s="59"/>
      <c r="G287" s="57">
        <f>(G14/F14)-1</f>
        <v>0.64990855106283396</v>
      </c>
      <c r="H287" s="57">
        <f>(H14/G14)-1</f>
        <v>-0.56076955224818414</v>
      </c>
      <c r="I287" s="57">
        <f>(I14/H14)-1</f>
        <v>2.5806358606473623E-2</v>
      </c>
      <c r="J287" s="57">
        <f>(J14/I14)-1</f>
        <v>0.63651696273567282</v>
      </c>
    </row>
    <row r="288" spans="2:12" x14ac:dyDescent="0.25">
      <c r="F288" s="59"/>
      <c r="G288" s="60"/>
      <c r="H288" s="60"/>
      <c r="I288" s="60"/>
      <c r="J288" s="60"/>
    </row>
    <row r="289" spans="2:10" x14ac:dyDescent="0.25">
      <c r="B289" s="1" t="s">
        <v>203</v>
      </c>
      <c r="F289" s="57">
        <f>F33/F14</f>
        <v>0.64237671302267951</v>
      </c>
      <c r="G289" s="57">
        <f>G33/G14</f>
        <v>0.76343490358556587</v>
      </c>
      <c r="H289" s="57">
        <f>H33/H14</f>
        <v>0.4264079319611821</v>
      </c>
      <c r="I289" s="57">
        <f>I33/I14</f>
        <v>0.43173721222195699</v>
      </c>
      <c r="J289" s="57">
        <f>J33/J14</f>
        <v>3.2041389981723498E-2</v>
      </c>
    </row>
    <row r="290" spans="2:10" x14ac:dyDescent="0.25">
      <c r="B290" s="1" t="s">
        <v>204</v>
      </c>
      <c r="F290" s="57">
        <f>F34/F14</f>
        <v>0.64332707165872494</v>
      </c>
      <c r="G290" s="57">
        <f>G34/G14</f>
        <v>0.76357133340848771</v>
      </c>
      <c r="H290" s="57">
        <f>H34/H14</f>
        <v>0.4264079319611821</v>
      </c>
      <c r="I290" s="57">
        <f>I34/I14</f>
        <v>0.43173721222195699</v>
      </c>
      <c r="J290" s="57">
        <f>J34/J14</f>
        <v>3.2041389981723498E-2</v>
      </c>
    </row>
    <row r="291" spans="2:10" x14ac:dyDescent="0.25">
      <c r="B291" s="1" t="s">
        <v>205</v>
      </c>
      <c r="F291" s="57">
        <f>F35/F14</f>
        <v>0.63550129902863861</v>
      </c>
      <c r="G291" s="57">
        <f>G35/G14</f>
        <v>0.76040333143760919</v>
      </c>
      <c r="H291" s="57">
        <f>H35/H14</f>
        <v>0.47358927595640865</v>
      </c>
      <c r="I291" s="57">
        <f>I35/I14</f>
        <v>0.47773811157171281</v>
      </c>
      <c r="J291" s="57">
        <f>J35/J14</f>
        <v>0.53877417646999981</v>
      </c>
    </row>
    <row r="292" spans="2:10" x14ac:dyDescent="0.25">
      <c r="B292" s="1" t="s">
        <v>206</v>
      </c>
      <c r="F292" s="57">
        <f>F32/F14</f>
        <v>0.48609388002903126</v>
      </c>
      <c r="G292" s="57">
        <f>G32/G14</f>
        <v>0.67140714920001165</v>
      </c>
      <c r="H292" s="57">
        <f>H32/H14</f>
        <v>0.17632182648268688</v>
      </c>
      <c r="I292" s="57">
        <f>I32/I14</f>
        <v>0.10863371007152765</v>
      </c>
      <c r="J292" s="57">
        <f>J32/J14</f>
        <v>-0.20387441886178906</v>
      </c>
    </row>
    <row r="293" spans="2:10" x14ac:dyDescent="0.25">
      <c r="B293" s="1" t="s">
        <v>207</v>
      </c>
      <c r="F293" s="57">
        <f>F46/F14</f>
        <v>0.2742080745605272</v>
      </c>
      <c r="G293" s="57">
        <f>G46/G14</f>
        <v>0.505336049809049</v>
      </c>
      <c r="H293" s="57">
        <f>H46/H14</f>
        <v>0.2260074536234461</v>
      </c>
      <c r="I293" s="57">
        <f>I46/I14</f>
        <v>6.1155783397876612E-2</v>
      </c>
      <c r="J293" s="57">
        <f>J46/J14</f>
        <v>-0.11240817456054712</v>
      </c>
    </row>
    <row r="294" spans="2:10" x14ac:dyDescent="0.25">
      <c r="F294" s="60"/>
      <c r="G294" s="60"/>
      <c r="H294" s="60"/>
      <c r="I294" s="60"/>
      <c r="J294" s="60"/>
    </row>
    <row r="295" spans="2:10" x14ac:dyDescent="0.25">
      <c r="B295" s="1" t="s">
        <v>208</v>
      </c>
      <c r="F295" s="59"/>
      <c r="G295" s="57">
        <f>G46/((G225+F225)/2)</f>
        <v>0.38531917245180169</v>
      </c>
      <c r="H295" s="57">
        <f>H46/((H225+G225)/2)</f>
        <v>6.7804501036009449E-2</v>
      </c>
      <c r="I295" s="57">
        <f>I46/((I225+H225)/2)</f>
        <v>1.9537745138881211E-2</v>
      </c>
      <c r="J295" s="57">
        <f>J46/((J225+I225)/2)</f>
        <v>-5.2369279805101844E-2</v>
      </c>
    </row>
    <row r="296" spans="2:10" x14ac:dyDescent="0.25">
      <c r="B296" s="1" t="s">
        <v>209</v>
      </c>
      <c r="F296" s="59"/>
      <c r="G296" s="57">
        <f>G46/((G192+F192)/2)</f>
        <v>0.31662111097835482</v>
      </c>
      <c r="H296" s="57">
        <f>H46/((H192+G192)/2)</f>
        <v>5.6030794330224822E-2</v>
      </c>
      <c r="I296" s="57">
        <f>I46/((I192+H192)/2)</f>
        <v>1.5769492974317869E-2</v>
      </c>
      <c r="J296" s="57">
        <f>J46/((J192+I192)/2)</f>
        <v>-3.3260449796638718E-2</v>
      </c>
    </row>
  </sheetData>
  <pageMargins left="0.7" right="0.7" top="0.75" bottom="0.75" header="0.3" footer="0.3"/>
  <ignoredErrors>
    <ignoredError sqref="F14:J1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CDD6-A37E-42C8-8605-E5D3F7F25118}">
  <dimension ref="A2:L148"/>
  <sheetViews>
    <sheetView showGridLines="0" topLeftCell="A66" workbookViewId="0">
      <selection activeCell="F99" sqref="F99"/>
    </sheetView>
  </sheetViews>
  <sheetFormatPr defaultColWidth="9" defaultRowHeight="15.75" x14ac:dyDescent="0.25"/>
  <cols>
    <col min="1" max="1" width="9" style="1"/>
    <col min="2" max="2" width="40.125" style="1" customWidth="1"/>
    <col min="3" max="3" width="11.125" style="1" customWidth="1"/>
    <col min="4" max="4" width="46.875" style="1" customWidth="1"/>
    <col min="5" max="5" width="9" style="1"/>
    <col min="6" max="10" width="11.375" style="1" bestFit="1" customWidth="1"/>
    <col min="11" max="16384" width="9" style="1"/>
  </cols>
  <sheetData>
    <row r="2" spans="1:12" ht="27.75" x14ac:dyDescent="0.4">
      <c r="B2" s="45" t="s">
        <v>12</v>
      </c>
      <c r="C2" s="51"/>
      <c r="D2" s="51"/>
      <c r="E2" s="51"/>
      <c r="F2" s="52"/>
      <c r="G2" s="52"/>
      <c r="H2" s="52"/>
      <c r="I2" s="52"/>
      <c r="J2" s="52"/>
      <c r="K2" s="51"/>
      <c r="L2" s="51"/>
    </row>
    <row r="3" spans="1:12" x14ac:dyDescent="0.25">
      <c r="F3" s="24"/>
      <c r="G3" s="24"/>
      <c r="H3" s="24"/>
      <c r="I3" s="24"/>
      <c r="J3" s="24"/>
    </row>
    <row r="4" spans="1:12" x14ac:dyDescent="0.25">
      <c r="B4" s="10" t="s">
        <v>212</v>
      </c>
      <c r="C4" s="10" t="s">
        <v>213</v>
      </c>
      <c r="E4" s="10" t="s">
        <v>231</v>
      </c>
      <c r="F4" s="24"/>
      <c r="G4" s="24"/>
      <c r="H4" s="24"/>
      <c r="I4" s="24" t="s">
        <v>236</v>
      </c>
      <c r="J4" s="24"/>
    </row>
    <row r="5" spans="1:12" x14ac:dyDescent="0.25">
      <c r="C5" s="1" t="s">
        <v>214</v>
      </c>
      <c r="D5" s="1" t="s">
        <v>219</v>
      </c>
      <c r="E5" s="1" t="s">
        <v>227</v>
      </c>
      <c r="F5" s="24" t="s">
        <v>232</v>
      </c>
      <c r="G5" s="24"/>
      <c r="H5" s="24"/>
      <c r="I5" s="24" t="s">
        <v>237</v>
      </c>
      <c r="J5" s="24" t="s">
        <v>238</v>
      </c>
    </row>
    <row r="6" spans="1:12" x14ac:dyDescent="0.25">
      <c r="C6" s="1" t="s">
        <v>215</v>
      </c>
      <c r="D6" s="1" t="s">
        <v>218</v>
      </c>
      <c r="E6" s="1" t="s">
        <v>229</v>
      </c>
      <c r="F6" s="24" t="s">
        <v>233</v>
      </c>
      <c r="G6" s="24"/>
      <c r="H6" s="24"/>
      <c r="I6" s="24"/>
      <c r="J6" s="24"/>
    </row>
    <row r="7" spans="1:12" x14ac:dyDescent="0.25">
      <c r="C7" s="1" t="s">
        <v>216</v>
      </c>
      <c r="D7" s="1" t="s">
        <v>217</v>
      </c>
      <c r="E7" s="1" t="s">
        <v>234</v>
      </c>
      <c r="F7" s="24" t="s">
        <v>235</v>
      </c>
      <c r="G7" s="24"/>
      <c r="H7" s="24"/>
      <c r="I7" s="24"/>
      <c r="J7" s="24"/>
    </row>
    <row r="8" spans="1:12" x14ac:dyDescent="0.25">
      <c r="F8" s="24"/>
      <c r="G8" s="24"/>
      <c r="H8" s="24"/>
      <c r="I8" s="24"/>
      <c r="J8" s="24"/>
    </row>
    <row r="9" spans="1:12" x14ac:dyDescent="0.25">
      <c r="E9" s="3"/>
      <c r="F9" s="24"/>
      <c r="G9" s="24"/>
      <c r="H9" s="24"/>
      <c r="I9" s="24"/>
      <c r="J9" s="24"/>
    </row>
    <row r="10" spans="1:12" ht="23.25" x14ac:dyDescent="0.35">
      <c r="A10" s="1" t="s">
        <v>185</v>
      </c>
      <c r="B10" s="46" t="s">
        <v>211</v>
      </c>
      <c r="C10" s="53"/>
      <c r="D10" s="53"/>
      <c r="E10" s="53"/>
      <c r="F10" s="54"/>
      <c r="G10" s="54"/>
      <c r="H10" s="54"/>
      <c r="I10" s="54"/>
      <c r="J10" s="54"/>
      <c r="K10" s="53"/>
      <c r="L10" s="53"/>
    </row>
    <row r="12" spans="1:12" ht="16.5" thickBot="1" x14ac:dyDescent="0.3">
      <c r="F12" s="31">
        <v>2021</v>
      </c>
      <c r="G12" s="31">
        <v>2022</v>
      </c>
      <c r="H12" s="31">
        <v>2023</v>
      </c>
      <c r="I12" s="31">
        <v>2024</v>
      </c>
      <c r="J12" s="31">
        <v>2025</v>
      </c>
    </row>
    <row r="13" spans="1:12" x14ac:dyDescent="0.25">
      <c r="B13" s="10" t="s">
        <v>299</v>
      </c>
      <c r="C13" s="10" t="s">
        <v>226</v>
      </c>
    </row>
    <row r="14" spans="1:12" x14ac:dyDescent="0.25">
      <c r="B14" s="10"/>
      <c r="C14" s="10"/>
    </row>
    <row r="15" spans="1:12" x14ac:dyDescent="0.25">
      <c r="B15" s="32" t="s">
        <v>225</v>
      </c>
      <c r="C15" s="44" t="s">
        <v>215</v>
      </c>
      <c r="F15" s="29">
        <v>10233</v>
      </c>
      <c r="G15" s="29">
        <v>9503</v>
      </c>
      <c r="H15" s="29">
        <v>8340</v>
      </c>
      <c r="I15" s="29">
        <v>6142</v>
      </c>
      <c r="J15" s="29">
        <v>10001</v>
      </c>
    </row>
    <row r="16" spans="1:12" ht="16.5" thickBot="1" x14ac:dyDescent="0.3">
      <c r="B16" s="32" t="s">
        <v>221</v>
      </c>
      <c r="C16" s="44">
        <v>1000</v>
      </c>
      <c r="F16" s="29">
        <f>$C$16</f>
        <v>1000</v>
      </c>
      <c r="G16" s="29">
        <f t="shared" ref="G16:J16" si="0">$C$16</f>
        <v>1000</v>
      </c>
      <c r="H16" s="29">
        <f t="shared" si="0"/>
        <v>1000</v>
      </c>
      <c r="I16" s="29">
        <f t="shared" si="0"/>
        <v>1000</v>
      </c>
      <c r="J16" s="29">
        <f t="shared" si="0"/>
        <v>1000</v>
      </c>
    </row>
    <row r="17" spans="2:12" x14ac:dyDescent="0.25">
      <c r="B17" s="19" t="s">
        <v>220</v>
      </c>
      <c r="C17" s="44" t="s">
        <v>214</v>
      </c>
      <c r="F17" s="26">
        <f>F15*F16</f>
        <v>10233000</v>
      </c>
      <c r="G17" s="26">
        <f t="shared" ref="G17:J17" si="1">G15*G16</f>
        <v>9503000</v>
      </c>
      <c r="H17" s="26">
        <f t="shared" si="1"/>
        <v>8340000</v>
      </c>
      <c r="I17" s="26">
        <f t="shared" si="1"/>
        <v>6142000</v>
      </c>
      <c r="J17" s="26">
        <f t="shared" si="1"/>
        <v>10001000</v>
      </c>
    </row>
    <row r="18" spans="2:12" x14ac:dyDescent="0.25">
      <c r="B18" s="19"/>
      <c r="C18" s="44"/>
      <c r="F18" s="17"/>
      <c r="G18" s="17"/>
      <c r="H18" s="17"/>
      <c r="I18" s="17"/>
      <c r="J18" s="17"/>
    </row>
    <row r="19" spans="2:12" x14ac:dyDescent="0.25">
      <c r="B19" s="32" t="s">
        <v>224</v>
      </c>
      <c r="C19" s="44" t="s">
        <v>229</v>
      </c>
      <c r="F19" s="29">
        <v>25</v>
      </c>
      <c r="G19" s="29">
        <v>32</v>
      </c>
      <c r="H19" s="29">
        <v>65</v>
      </c>
      <c r="I19" s="29">
        <v>187</v>
      </c>
      <c r="J19" s="29">
        <v>223</v>
      </c>
    </row>
    <row r="20" spans="2:12" ht="16.5" thickBot="1" x14ac:dyDescent="0.3">
      <c r="B20" s="32" t="s">
        <v>222</v>
      </c>
      <c r="C20" s="44">
        <v>1000</v>
      </c>
      <c r="F20" s="29">
        <f>$C$20</f>
        <v>1000</v>
      </c>
      <c r="G20" s="29">
        <f t="shared" ref="G20:J20" si="2">$C$20</f>
        <v>1000</v>
      </c>
      <c r="H20" s="29">
        <f t="shared" si="2"/>
        <v>1000</v>
      </c>
      <c r="I20" s="29">
        <f t="shared" si="2"/>
        <v>1000</v>
      </c>
      <c r="J20" s="29">
        <f t="shared" si="2"/>
        <v>1000</v>
      </c>
    </row>
    <row r="21" spans="2:12" x14ac:dyDescent="0.25">
      <c r="B21" s="19" t="s">
        <v>223</v>
      </c>
      <c r="C21" s="44" t="s">
        <v>227</v>
      </c>
      <c r="F21" s="26">
        <f>F19*F20</f>
        <v>25000</v>
      </c>
      <c r="G21" s="26">
        <f>G19*G20</f>
        <v>32000</v>
      </c>
      <c r="H21" s="26">
        <f t="shared" ref="H21:J21" si="3">H19*H20</f>
        <v>65000</v>
      </c>
      <c r="I21" s="26">
        <f t="shared" si="3"/>
        <v>187000</v>
      </c>
      <c r="J21" s="26">
        <f t="shared" si="3"/>
        <v>223000</v>
      </c>
    </row>
    <row r="22" spans="2:12" x14ac:dyDescent="0.25">
      <c r="B22" s="19"/>
      <c r="C22" s="44"/>
      <c r="F22" s="17"/>
      <c r="G22" s="17"/>
      <c r="H22" s="17"/>
      <c r="I22" s="17"/>
      <c r="J22" s="17"/>
    </row>
    <row r="23" spans="2:12" x14ac:dyDescent="0.25">
      <c r="B23" s="32" t="s">
        <v>228</v>
      </c>
      <c r="C23" s="44" t="s">
        <v>230</v>
      </c>
      <c r="F23" s="29">
        <v>29</v>
      </c>
      <c r="G23" s="29">
        <v>44</v>
      </c>
      <c r="H23" s="29">
        <v>39</v>
      </c>
      <c r="I23" s="29">
        <v>69</v>
      </c>
      <c r="J23" s="29">
        <v>81</v>
      </c>
      <c r="L23" s="1" t="s">
        <v>245</v>
      </c>
    </row>
    <row r="24" spans="2:12" ht="16.5" thickBot="1" x14ac:dyDescent="0.3">
      <c r="B24" s="32" t="s">
        <v>239</v>
      </c>
      <c r="C24" s="44">
        <v>1000</v>
      </c>
      <c r="F24" s="29">
        <f>$C$24</f>
        <v>1000</v>
      </c>
      <c r="G24" s="29">
        <f t="shared" ref="G24:J24" si="4">$C$24</f>
        <v>1000</v>
      </c>
      <c r="H24" s="29">
        <f t="shared" si="4"/>
        <v>1000</v>
      </c>
      <c r="I24" s="29">
        <f t="shared" si="4"/>
        <v>1000</v>
      </c>
      <c r="J24" s="29">
        <f t="shared" si="4"/>
        <v>1000</v>
      </c>
    </row>
    <row r="25" spans="2:12" x14ac:dyDescent="0.25">
      <c r="B25" s="72" t="s">
        <v>240</v>
      </c>
      <c r="C25" s="65"/>
      <c r="F25" s="26">
        <f>F23*F24</f>
        <v>29000</v>
      </c>
      <c r="G25" s="26">
        <f t="shared" ref="G25:J25" si="5">G23*G24</f>
        <v>44000</v>
      </c>
      <c r="H25" s="26">
        <f t="shared" si="5"/>
        <v>39000</v>
      </c>
      <c r="I25" s="26">
        <f t="shared" si="5"/>
        <v>69000</v>
      </c>
      <c r="J25" s="26">
        <f t="shared" si="5"/>
        <v>81000</v>
      </c>
    </row>
    <row r="26" spans="2:12" x14ac:dyDescent="0.25">
      <c r="B26" s="62"/>
      <c r="C26" s="63"/>
    </row>
    <row r="27" spans="2:12" x14ac:dyDescent="0.25">
      <c r="B27" s="66" t="s">
        <v>251</v>
      </c>
      <c r="C27" s="64"/>
    </row>
    <row r="28" spans="2:12" x14ac:dyDescent="0.25">
      <c r="B28" s="66"/>
      <c r="C28" s="64"/>
    </row>
    <row r="29" spans="2:12" x14ac:dyDescent="0.25">
      <c r="B29" s="73" t="s">
        <v>328</v>
      </c>
      <c r="C29" s="61" t="s">
        <v>237</v>
      </c>
      <c r="F29" s="29">
        <f>F17/6</f>
        <v>1705500</v>
      </c>
      <c r="G29" s="29">
        <f t="shared" ref="G29:J29" si="6">G17/6</f>
        <v>1583833.3333333333</v>
      </c>
      <c r="H29" s="29">
        <f t="shared" si="6"/>
        <v>1390000</v>
      </c>
      <c r="I29" s="29">
        <f t="shared" si="6"/>
        <v>1023666.6666666666</v>
      </c>
      <c r="J29" s="29">
        <f t="shared" si="6"/>
        <v>1666833.3333333333</v>
      </c>
    </row>
    <row r="30" spans="2:12" x14ac:dyDescent="0.25">
      <c r="B30" s="73" t="s">
        <v>241</v>
      </c>
      <c r="C30" s="61" t="s">
        <v>237</v>
      </c>
      <c r="F30" s="29">
        <f>F21</f>
        <v>25000</v>
      </c>
      <c r="G30" s="29">
        <f t="shared" ref="G30:J30" si="7">G21</f>
        <v>32000</v>
      </c>
      <c r="H30" s="29">
        <f t="shared" si="7"/>
        <v>65000</v>
      </c>
      <c r="I30" s="29">
        <f t="shared" si="7"/>
        <v>187000</v>
      </c>
      <c r="J30" s="29">
        <f t="shared" si="7"/>
        <v>223000</v>
      </c>
    </row>
    <row r="31" spans="2:12" ht="16.5" thickBot="1" x14ac:dyDescent="0.3">
      <c r="B31" s="32" t="s">
        <v>240</v>
      </c>
      <c r="C31" s="61" t="s">
        <v>237</v>
      </c>
      <c r="F31" s="29">
        <f>F25</f>
        <v>29000</v>
      </c>
      <c r="G31" s="29">
        <f t="shared" ref="G31:J31" si="8">G25</f>
        <v>44000</v>
      </c>
      <c r="H31" s="29">
        <f t="shared" si="8"/>
        <v>39000</v>
      </c>
      <c r="I31" s="29">
        <f t="shared" si="8"/>
        <v>69000</v>
      </c>
      <c r="J31" s="29">
        <f t="shared" si="8"/>
        <v>81000</v>
      </c>
    </row>
    <row r="32" spans="2:12" x14ac:dyDescent="0.25">
      <c r="B32" s="33" t="s">
        <v>242</v>
      </c>
      <c r="C32" s="61" t="s">
        <v>237</v>
      </c>
      <c r="F32" s="26">
        <f>SUM(F29:F31)</f>
        <v>1759500</v>
      </c>
      <c r="G32" s="26">
        <f t="shared" ref="G32:J32" si="9">SUM(G29:G31)</f>
        <v>1659833.3333333333</v>
      </c>
      <c r="H32" s="26">
        <f t="shared" si="9"/>
        <v>1494000</v>
      </c>
      <c r="I32" s="26">
        <f t="shared" si="9"/>
        <v>1279666.6666666665</v>
      </c>
      <c r="J32" s="26">
        <f t="shared" si="9"/>
        <v>1970833.3333333333</v>
      </c>
    </row>
    <row r="33" spans="2:10" x14ac:dyDescent="0.25">
      <c r="B33" s="33" t="s">
        <v>243</v>
      </c>
      <c r="C33" s="61" t="s">
        <v>230</v>
      </c>
      <c r="F33" s="27">
        <f>F32/1000</f>
        <v>1759.5</v>
      </c>
      <c r="G33" s="27">
        <f t="shared" ref="G33:J33" si="10">G32/1000</f>
        <v>1659.8333333333333</v>
      </c>
      <c r="H33" s="27">
        <f t="shared" si="10"/>
        <v>1494</v>
      </c>
      <c r="I33" s="27">
        <f t="shared" si="10"/>
        <v>1279.6666666666665</v>
      </c>
      <c r="J33" s="27">
        <f t="shared" si="10"/>
        <v>1970.8333333333333</v>
      </c>
    </row>
    <row r="34" spans="2:10" x14ac:dyDescent="0.25">
      <c r="B34" s="33" t="s">
        <v>244</v>
      </c>
      <c r="C34" s="61" t="s">
        <v>246</v>
      </c>
      <c r="F34" s="27">
        <f>F32/365</f>
        <v>4820.5479452054797</v>
      </c>
      <c r="G34" s="27">
        <f t="shared" ref="G34:J34" si="11">G32/365</f>
        <v>4547.488584474886</v>
      </c>
      <c r="H34" s="27">
        <f t="shared" si="11"/>
        <v>4093.1506849315069</v>
      </c>
      <c r="I34" s="27">
        <f t="shared" si="11"/>
        <v>3505.9360730593603</v>
      </c>
      <c r="J34" s="27">
        <f t="shared" si="11"/>
        <v>5399.5433789954332</v>
      </c>
    </row>
    <row r="36" spans="2:10" x14ac:dyDescent="0.25">
      <c r="B36" s="10" t="s">
        <v>333</v>
      </c>
    </row>
    <row r="37" spans="2:10" x14ac:dyDescent="0.25">
      <c r="B37" s="32" t="s">
        <v>330</v>
      </c>
      <c r="C37" s="1" t="s">
        <v>312</v>
      </c>
      <c r="F37" s="69">
        <f>F29/F32</f>
        <v>0.96930946291560105</v>
      </c>
      <c r="G37" s="69">
        <f t="shared" ref="G37:J37" si="12">G29/G32</f>
        <v>0.95421227030826383</v>
      </c>
      <c r="H37" s="69">
        <f t="shared" si="12"/>
        <v>0.93038821954484607</v>
      </c>
      <c r="I37" s="69">
        <f t="shared" si="12"/>
        <v>0.7999479030997656</v>
      </c>
      <c r="J37" s="69">
        <f t="shared" si="12"/>
        <v>0.84575052854122623</v>
      </c>
    </row>
    <row r="38" spans="2:10" x14ac:dyDescent="0.25">
      <c r="B38" s="32" t="s">
        <v>331</v>
      </c>
      <c r="C38" s="1" t="s">
        <v>312</v>
      </c>
      <c r="F38" s="69">
        <f>F30/F32</f>
        <v>1.4208581983518044E-2</v>
      </c>
      <c r="G38" s="69">
        <f t="shared" ref="G38:J38" si="13">G30/G32</f>
        <v>1.9279044080730997E-2</v>
      </c>
      <c r="H38" s="69">
        <f t="shared" si="13"/>
        <v>4.3507362784471218E-2</v>
      </c>
      <c r="I38" s="69">
        <f t="shared" si="13"/>
        <v>0.14613180515759314</v>
      </c>
      <c r="J38" s="69">
        <f t="shared" si="13"/>
        <v>0.11315010570824524</v>
      </c>
    </row>
    <row r="39" spans="2:10" x14ac:dyDescent="0.25">
      <c r="B39" s="32" t="s">
        <v>332</v>
      </c>
      <c r="C39" s="1" t="s">
        <v>312</v>
      </c>
      <c r="F39" s="69">
        <f>F31/F32</f>
        <v>1.6481955100880932E-2</v>
      </c>
      <c r="G39" s="69">
        <f t="shared" ref="G39:J39" si="14">G31/G32</f>
        <v>2.6508685611005122E-2</v>
      </c>
      <c r="H39" s="69">
        <f t="shared" si="14"/>
        <v>2.6104417670682729E-2</v>
      </c>
      <c r="I39" s="69">
        <f t="shared" si="14"/>
        <v>5.3920291742641319E-2</v>
      </c>
      <c r="J39" s="69">
        <f t="shared" si="14"/>
        <v>4.1099365750528541E-2</v>
      </c>
    </row>
    <row r="41" spans="2:10" x14ac:dyDescent="0.25">
      <c r="B41" s="10" t="s">
        <v>247</v>
      </c>
    </row>
    <row r="42" spans="2:10" x14ac:dyDescent="0.25">
      <c r="B42" s="10"/>
    </row>
    <row r="43" spans="2:10" x14ac:dyDescent="0.25">
      <c r="B43" s="32" t="s">
        <v>327</v>
      </c>
      <c r="C43" s="1" t="s">
        <v>312</v>
      </c>
      <c r="F43" s="29" t="s">
        <v>250</v>
      </c>
      <c r="G43" s="69">
        <f t="shared" ref="G43:J46" si="15">(G29/F29)-1</f>
        <v>-7.1337828593765362E-2</v>
      </c>
      <c r="H43" s="69">
        <f t="shared" si="15"/>
        <v>-0.12238240555614011</v>
      </c>
      <c r="I43" s="69">
        <f t="shared" si="15"/>
        <v>-0.26354916067146283</v>
      </c>
      <c r="J43" s="69">
        <f t="shared" si="15"/>
        <v>0.62829697167046561</v>
      </c>
    </row>
    <row r="44" spans="2:10" x14ac:dyDescent="0.25">
      <c r="B44" s="32" t="s">
        <v>248</v>
      </c>
      <c r="C44" s="1" t="s">
        <v>312</v>
      </c>
      <c r="F44" s="29" t="s">
        <v>250</v>
      </c>
      <c r="G44" s="69">
        <f t="shared" si="15"/>
        <v>0.28000000000000003</v>
      </c>
      <c r="H44" s="69">
        <f t="shared" si="15"/>
        <v>1.03125</v>
      </c>
      <c r="I44" s="69">
        <f t="shared" si="15"/>
        <v>1.8769230769230769</v>
      </c>
      <c r="J44" s="69">
        <f t="shared" si="15"/>
        <v>0.19251336898395732</v>
      </c>
    </row>
    <row r="45" spans="2:10" ht="16.5" thickBot="1" x14ac:dyDescent="0.3">
      <c r="B45" s="32" t="s">
        <v>249</v>
      </c>
      <c r="C45" s="1" t="s">
        <v>312</v>
      </c>
      <c r="F45" s="29" t="s">
        <v>250</v>
      </c>
      <c r="G45" s="69">
        <f t="shared" si="15"/>
        <v>0.51724137931034475</v>
      </c>
      <c r="H45" s="69">
        <f t="shared" si="15"/>
        <v>-0.11363636363636365</v>
      </c>
      <c r="I45" s="69">
        <f t="shared" si="15"/>
        <v>0.76923076923076916</v>
      </c>
      <c r="J45" s="69">
        <f t="shared" si="15"/>
        <v>0.17391304347826098</v>
      </c>
    </row>
    <row r="46" spans="2:10" x14ac:dyDescent="0.25">
      <c r="B46" s="10" t="s">
        <v>329</v>
      </c>
      <c r="C46" s="1" t="s">
        <v>312</v>
      </c>
      <c r="F46" s="78" t="s">
        <v>250</v>
      </c>
      <c r="G46" s="78">
        <f t="shared" si="15"/>
        <v>-5.6644880174292034E-2</v>
      </c>
      <c r="H46" s="78">
        <f t="shared" si="15"/>
        <v>-9.9909629480871565E-2</v>
      </c>
      <c r="I46" s="78">
        <f t="shared" si="15"/>
        <v>-0.14346273984828217</v>
      </c>
      <c r="J46" s="78">
        <f t="shared" si="15"/>
        <v>0.5401146131805159</v>
      </c>
    </row>
    <row r="48" spans="2:10" x14ac:dyDescent="0.25">
      <c r="B48" s="10" t="s">
        <v>252</v>
      </c>
    </row>
    <row r="49" spans="2:10" x14ac:dyDescent="0.25">
      <c r="B49" s="10"/>
    </row>
    <row r="50" spans="2:10" x14ac:dyDescent="0.25">
      <c r="B50" s="32" t="s">
        <v>326</v>
      </c>
      <c r="C50" s="1" t="s">
        <v>323</v>
      </c>
      <c r="F50" s="68">
        <f>'Historical Financials'!F10/'Production &amp; Reserves'!F17</f>
        <v>3.0986206391087658</v>
      </c>
      <c r="G50" s="68">
        <f>'Historical Financials'!G10/'Production &amp; Reserves'!G17</f>
        <v>5.992711143849311</v>
      </c>
      <c r="H50" s="68">
        <f>'Historical Financials'!H10/'Production &amp; Reserves'!H17</f>
        <v>1.7822798561151079</v>
      </c>
      <c r="I50" s="68">
        <f>'Historical Financials'!I10/'Production &amp; Reserves'!I17</f>
        <v>1.756116574405731</v>
      </c>
      <c r="J50" s="68">
        <f>'Historical Financials'!J10/'Production &amp; Reserves'!J17</f>
        <v>2.911853414658534</v>
      </c>
    </row>
    <row r="51" spans="2:10" x14ac:dyDescent="0.25">
      <c r="B51" s="32" t="s">
        <v>253</v>
      </c>
      <c r="C51" s="1" t="s">
        <v>324</v>
      </c>
      <c r="F51" s="68">
        <f>'Historical Financials'!F12/'Production &amp; Reserves'!F21</f>
        <v>71.059839999999994</v>
      </c>
      <c r="G51" s="68">
        <f>'Historical Financials'!G12/'Production &amp; Reserves'!G21</f>
        <v>99.854156250000003</v>
      </c>
      <c r="H51" s="68">
        <f>'Historical Financials'!H12/'Production &amp; Reserves'!H21</f>
        <v>78.316753846153844</v>
      </c>
      <c r="I51" s="68">
        <f>'Historical Financials'!I12/'Production &amp; Reserves'!I21</f>
        <v>73.426128342245988</v>
      </c>
      <c r="J51" s="68">
        <f>'Historical Financials'!J12/'Production &amp; Reserves'!J21</f>
        <v>61.899170403587441</v>
      </c>
    </row>
    <row r="52" spans="2:10" ht="16.5" thickBot="1" x14ac:dyDescent="0.3">
      <c r="B52" s="32" t="s">
        <v>254</v>
      </c>
      <c r="C52" s="1" t="s">
        <v>325</v>
      </c>
      <c r="F52" s="68">
        <f>'Historical Financials'!F11/'Production &amp; Reserves'!F25</f>
        <v>36.327103448275864</v>
      </c>
      <c r="G52" s="68">
        <f>'Historical Financials'!G11/'Production &amp; Reserves'!G25</f>
        <v>39.389318181818183</v>
      </c>
      <c r="H52" s="68">
        <f>'Historical Financials'!H11/'Production &amp; Reserves'!H25</f>
        <v>25.24148717948718</v>
      </c>
      <c r="I52" s="68">
        <f>'Historical Financials'!I11/'Production &amp; Reserves'!I25</f>
        <v>21.477652173913043</v>
      </c>
      <c r="J52" s="68">
        <f>'Historical Financials'!J11/'Production &amp; Reserves'!J25</f>
        <v>24.430370370370369</v>
      </c>
    </row>
    <row r="53" spans="2:10" x14ac:dyDescent="0.25">
      <c r="B53" s="10" t="s">
        <v>255</v>
      </c>
      <c r="C53" s="1" t="s">
        <v>325</v>
      </c>
      <c r="D53" s="1" t="s">
        <v>256</v>
      </c>
      <c r="E53" s="10"/>
      <c r="F53" s="79">
        <f>SUM('Historical Financials'!F10:F12)/'Production &amp; Reserves'!F32</f>
        <v>19.6295350951975</v>
      </c>
      <c r="G53" s="79">
        <f>SUM('Historical Financials'!G10:G12)/'Production &amp; Reserves'!G32</f>
        <v>37.279162767346122</v>
      </c>
      <c r="H53" s="79">
        <f>SUM('Historical Financials'!H10:H12)/'Production &amp; Reserves'!H32</f>
        <v>14.015542838018742</v>
      </c>
      <c r="I53" s="79">
        <f>SUM('Historical Financials'!I10:I12)/'Production &amp; Reserves'!I32</f>
        <v>20.316784579317535</v>
      </c>
      <c r="J53" s="79">
        <f>SUM('Historical Financials'!J10:J12)/'Production &amp; Reserves'!J32</f>
        <v>22.784179788583511</v>
      </c>
    </row>
    <row r="55" spans="2:10" x14ac:dyDescent="0.25">
      <c r="B55" s="10" t="s">
        <v>257</v>
      </c>
    </row>
    <row r="57" spans="2:10" x14ac:dyDescent="0.25">
      <c r="B57" s="19" t="s">
        <v>260</v>
      </c>
      <c r="C57" s="1" t="s">
        <v>325</v>
      </c>
      <c r="D57" s="1" t="s">
        <v>256</v>
      </c>
      <c r="F57" s="80">
        <f>F53</f>
        <v>19.6295350951975</v>
      </c>
      <c r="G57" s="80">
        <f t="shared" ref="G57:J57" si="16">G53</f>
        <v>37.279162767346122</v>
      </c>
      <c r="H57" s="80">
        <f t="shared" si="16"/>
        <v>14.015542838018742</v>
      </c>
      <c r="I57" s="80">
        <f t="shared" si="16"/>
        <v>20.316784579317535</v>
      </c>
      <c r="J57" s="80">
        <f t="shared" si="16"/>
        <v>22.784179788583511</v>
      </c>
    </row>
    <row r="58" spans="2:10" x14ac:dyDescent="0.25">
      <c r="B58" s="19" t="s">
        <v>262</v>
      </c>
      <c r="C58" s="1" t="s">
        <v>325</v>
      </c>
      <c r="D58" s="1" t="s">
        <v>258</v>
      </c>
      <c r="F58" s="80">
        <f>'Historical Financials'!F17/'Production &amp; Reserves'!F32</f>
        <v>4.4886263142938336</v>
      </c>
      <c r="G58" s="80">
        <f>'Historical Financials'!G17/'Production &amp; Reserves'!G32</f>
        <v>4.2947872276332966</v>
      </c>
      <c r="H58" s="80">
        <f>'Historical Financials'!H17/'Production &amp; Reserves'!H32</f>
        <v>4.2873366800535475</v>
      </c>
      <c r="I58" s="80">
        <f>'Historical Financials'!I17/'Production &amp; Reserves'!I32</f>
        <v>5.6771221672310501</v>
      </c>
      <c r="J58" s="80">
        <f>'Historical Financials'!J17/'Production &amp; Reserves'!J32</f>
        <v>6.3517928118393234</v>
      </c>
    </row>
    <row r="59" spans="2:10" x14ac:dyDescent="0.25">
      <c r="B59" s="19" t="s">
        <v>261</v>
      </c>
      <c r="C59" s="1" t="s">
        <v>325</v>
      </c>
      <c r="D59" s="1" t="s">
        <v>259</v>
      </c>
      <c r="F59" s="80">
        <f>'Historical Financials'!F28/'Production &amp; Reserves'!F32</f>
        <v>3.8828167092924124</v>
      </c>
      <c r="G59" s="80">
        <f>'Historical Financials'!G28/'Production &amp; Reserves'!G32</f>
        <v>4.4260094386986646</v>
      </c>
      <c r="H59" s="80">
        <f>'Historical Financials'!H28/'Production &amp; Reserves'!H32</f>
        <v>4.8939062918340026</v>
      </c>
      <c r="I59" s="80">
        <f>'Historical Financials'!I28/'Production &amp; Reserves'!I32</f>
        <v>5.4179187288356347</v>
      </c>
      <c r="J59" s="80">
        <f>'Historical Financials'!J28/'Production &amp; Reserves'!J32</f>
        <v>4.5225295560253702</v>
      </c>
    </row>
    <row r="60" spans="2:10" x14ac:dyDescent="0.25">
      <c r="B60" s="19" t="s">
        <v>263</v>
      </c>
      <c r="C60" s="1" t="s">
        <v>325</v>
      </c>
      <c r="D60" s="1" t="s">
        <v>265</v>
      </c>
      <c r="F60" s="80">
        <f>'Historical Financials'!F20/'Production &amp; Reserves'!F32</f>
        <v>3.7664200056834329</v>
      </c>
      <c r="G60" s="80">
        <f>'Historical Financials'!G20/'Production &amp; Reserves'!G32</f>
        <v>3.8790105432272317</v>
      </c>
      <c r="H60" s="80">
        <f>'Historical Financials'!H20/'Production &amp; Reserves'!H32</f>
        <v>5.1439651941097724</v>
      </c>
      <c r="I60" s="80">
        <f>'Historical Financials'!I20/'Production &amp; Reserves'!I32</f>
        <v>7.9591969262828872</v>
      </c>
      <c r="J60" s="80">
        <f>'Historical Financials'!J20/'Production &amp; Reserves'!J32</f>
        <v>6.1752152219873153</v>
      </c>
    </row>
    <row r="61" spans="2:10" x14ac:dyDescent="0.25">
      <c r="B61" s="19" t="s">
        <v>267</v>
      </c>
      <c r="C61" s="1" t="s">
        <v>325</v>
      </c>
      <c r="D61" s="1" t="s">
        <v>264</v>
      </c>
      <c r="F61" s="80">
        <f>'Historical Financials'!F34/'Production &amp; Reserves'!F32</f>
        <v>15.50419778346121</v>
      </c>
      <c r="G61" s="80">
        <f>'Historical Financials'!G34/'Production &amp; Reserves'!G32</f>
        <v>32.184869364394018</v>
      </c>
      <c r="H61" s="80">
        <f>'Historical Financials'!H34/'Production &amp; Reserves'!H32</f>
        <v>8.7706894243641234</v>
      </c>
      <c r="I61" s="80">
        <f>'Historical Financials'!I34/'Production &amp; Reserves'!I32</f>
        <v>10.635234436051057</v>
      </c>
      <c r="J61" s="80">
        <f>'Historical Financials'!J34/'Production &amp; Reserves'!J32</f>
        <v>0.83869953488372095</v>
      </c>
    </row>
    <row r="62" spans="2:10" x14ac:dyDescent="0.25">
      <c r="B62" s="19" t="s">
        <v>266</v>
      </c>
      <c r="C62" s="1" t="s">
        <v>325</v>
      </c>
      <c r="D62" s="1" t="s">
        <v>268</v>
      </c>
      <c r="F62" s="80">
        <f>('Historical Financials'!F77+'Historical Financials'!F93)/'Production &amp; Reserves'!F32</f>
        <v>8.592420005683433</v>
      </c>
      <c r="G62" s="80">
        <f>('Historical Financials'!G77+'Historical Financials'!G93)/'Production &amp; Reserves'!G32</f>
        <v>18.03515834923185</v>
      </c>
      <c r="H62" s="80">
        <f>('Historical Financials'!H77+'Historical Financials'!H93)/'Production &amp; Reserves'!H32</f>
        <v>-1.5204712182061579</v>
      </c>
      <c r="I62" s="80">
        <f>('Historical Financials'!I77+'Historical Financials'!I93)/'Production &amp; Reserves'!I32</f>
        <v>-14.769100807501955</v>
      </c>
      <c r="J62" s="80">
        <f>('Historical Financials'!J77+'Historical Financials'!J93)/'Production &amp; Reserves'!J32</f>
        <v>3.162006088794926</v>
      </c>
    </row>
    <row r="63" spans="2:10" x14ac:dyDescent="0.25">
      <c r="F63" s="67"/>
      <c r="G63" s="67"/>
      <c r="H63" s="67"/>
      <c r="I63" s="67"/>
      <c r="J63" s="67"/>
    </row>
    <row r="64" spans="2:10" x14ac:dyDescent="0.25">
      <c r="F64" s="67"/>
      <c r="G64" s="67"/>
      <c r="H64" s="67"/>
      <c r="I64" s="67"/>
      <c r="J64" s="67"/>
    </row>
    <row r="65" spans="1:12" ht="23.25" x14ac:dyDescent="0.35">
      <c r="A65" s="1" t="s">
        <v>185</v>
      </c>
      <c r="B65" s="46" t="s">
        <v>269</v>
      </c>
      <c r="C65" s="53"/>
      <c r="D65" s="53"/>
      <c r="E65" s="53"/>
      <c r="F65" s="54"/>
      <c r="G65" s="54"/>
      <c r="H65" s="54"/>
      <c r="I65" s="54"/>
      <c r="J65" s="54"/>
      <c r="K65" s="53"/>
      <c r="L65" s="53"/>
    </row>
    <row r="66" spans="1:12" x14ac:dyDescent="0.25">
      <c r="F66" s="67"/>
      <c r="G66" s="67"/>
      <c r="H66" s="67"/>
      <c r="I66" s="67"/>
      <c r="J66" s="67"/>
    </row>
    <row r="67" spans="1:12" ht="16.5" thickBot="1" x14ac:dyDescent="0.3">
      <c r="F67" s="31">
        <v>2021</v>
      </c>
      <c r="G67" s="31">
        <v>2022</v>
      </c>
      <c r="H67" s="31">
        <v>2023</v>
      </c>
      <c r="I67" s="31">
        <v>2024</v>
      </c>
      <c r="J67" s="31">
        <v>2025</v>
      </c>
    </row>
    <row r="68" spans="1:12" x14ac:dyDescent="0.25">
      <c r="F68" s="67"/>
      <c r="G68" s="67"/>
      <c r="H68" s="67"/>
      <c r="I68" s="67"/>
      <c r="J68" s="67"/>
    </row>
    <row r="69" spans="1:12" x14ac:dyDescent="0.25">
      <c r="B69" s="10" t="s">
        <v>271</v>
      </c>
      <c r="F69" s="67"/>
      <c r="G69" s="67"/>
      <c r="H69" s="67"/>
      <c r="I69" s="67"/>
      <c r="J69" s="67"/>
    </row>
    <row r="70" spans="1:12" x14ac:dyDescent="0.25">
      <c r="C70" s="10" t="s">
        <v>226</v>
      </c>
    </row>
    <row r="71" spans="1:12" x14ac:dyDescent="0.25">
      <c r="B71" s="32" t="s">
        <v>272</v>
      </c>
      <c r="C71" s="44" t="s">
        <v>215</v>
      </c>
      <c r="F71" s="29">
        <v>110969</v>
      </c>
      <c r="G71" s="29">
        <v>90040</v>
      </c>
      <c r="H71" s="29">
        <v>65915</v>
      </c>
      <c r="I71" s="29">
        <v>69401</v>
      </c>
      <c r="J71" s="29">
        <v>86372</v>
      </c>
    </row>
    <row r="72" spans="1:12" ht="16.5" thickBot="1" x14ac:dyDescent="0.3">
      <c r="B72" s="32" t="s">
        <v>221</v>
      </c>
      <c r="C72" s="44">
        <v>1000</v>
      </c>
      <c r="F72" s="29">
        <f>$C$72</f>
        <v>1000</v>
      </c>
      <c r="G72" s="29">
        <f t="shared" ref="G72:J72" si="17">$C$72</f>
        <v>1000</v>
      </c>
      <c r="H72" s="29">
        <f t="shared" si="17"/>
        <v>1000</v>
      </c>
      <c r="I72" s="29">
        <f t="shared" si="17"/>
        <v>1000</v>
      </c>
      <c r="J72" s="29">
        <f t="shared" si="17"/>
        <v>1000</v>
      </c>
    </row>
    <row r="73" spans="1:12" x14ac:dyDescent="0.25">
      <c r="B73" s="19" t="s">
        <v>275</v>
      </c>
      <c r="C73" s="44" t="s">
        <v>214</v>
      </c>
      <c r="F73" s="26">
        <f>F71*F72</f>
        <v>110969000</v>
      </c>
      <c r="G73" s="26">
        <f t="shared" ref="G73:J73" si="18">G71*G72</f>
        <v>90040000</v>
      </c>
      <c r="H73" s="26">
        <f t="shared" si="18"/>
        <v>65915000</v>
      </c>
      <c r="I73" s="26">
        <f t="shared" si="18"/>
        <v>69401000</v>
      </c>
      <c r="J73" s="26">
        <f t="shared" si="18"/>
        <v>86372000</v>
      </c>
    </row>
    <row r="74" spans="1:12" x14ac:dyDescent="0.25">
      <c r="B74" s="19"/>
      <c r="C74" s="44"/>
    </row>
    <row r="75" spans="1:12" x14ac:dyDescent="0.25">
      <c r="B75" s="32" t="s">
        <v>273</v>
      </c>
      <c r="C75" s="44" t="s">
        <v>229</v>
      </c>
      <c r="F75" s="29">
        <v>305</v>
      </c>
      <c r="G75" s="29">
        <v>211</v>
      </c>
      <c r="H75" s="29">
        <v>341</v>
      </c>
      <c r="I75" s="29">
        <v>1572</v>
      </c>
      <c r="J75" s="29">
        <v>9259</v>
      </c>
    </row>
    <row r="76" spans="1:12" ht="16.5" thickBot="1" x14ac:dyDescent="0.3">
      <c r="B76" s="32" t="s">
        <v>222</v>
      </c>
      <c r="C76" s="44">
        <v>1000</v>
      </c>
      <c r="F76" s="29">
        <f>$C$76</f>
        <v>1000</v>
      </c>
      <c r="G76" s="29">
        <f t="shared" ref="G76:J76" si="19">$C$76</f>
        <v>1000</v>
      </c>
      <c r="H76" s="29">
        <f t="shared" si="19"/>
        <v>1000</v>
      </c>
      <c r="I76" s="29">
        <f t="shared" si="19"/>
        <v>1000</v>
      </c>
      <c r="J76" s="29">
        <f t="shared" si="19"/>
        <v>1000</v>
      </c>
    </row>
    <row r="77" spans="1:12" x14ac:dyDescent="0.25">
      <c r="B77" s="19" t="s">
        <v>276</v>
      </c>
      <c r="C77" s="44" t="s">
        <v>227</v>
      </c>
      <c r="F77" s="26">
        <f>F75*F76</f>
        <v>305000</v>
      </c>
      <c r="G77" s="26">
        <f t="shared" ref="G77:J77" si="20">G75*G76</f>
        <v>211000</v>
      </c>
      <c r="H77" s="26">
        <f t="shared" si="20"/>
        <v>341000</v>
      </c>
      <c r="I77" s="26">
        <f t="shared" si="20"/>
        <v>1572000</v>
      </c>
      <c r="J77" s="26">
        <f t="shared" si="20"/>
        <v>9259000</v>
      </c>
    </row>
    <row r="78" spans="1:12" x14ac:dyDescent="0.25">
      <c r="B78" s="19"/>
      <c r="C78" s="44"/>
    </row>
    <row r="79" spans="1:12" x14ac:dyDescent="0.25">
      <c r="B79" s="32" t="s">
        <v>274</v>
      </c>
      <c r="C79" s="44" t="s">
        <v>229</v>
      </c>
      <c r="F79" s="29">
        <v>820</v>
      </c>
      <c r="G79" s="29">
        <v>491</v>
      </c>
      <c r="H79" s="29">
        <v>383</v>
      </c>
      <c r="I79" s="29">
        <v>877</v>
      </c>
      <c r="J79" s="29">
        <v>2352</v>
      </c>
    </row>
    <row r="80" spans="1:12" ht="16.5" thickBot="1" x14ac:dyDescent="0.3">
      <c r="B80" s="32" t="s">
        <v>283</v>
      </c>
      <c r="C80" s="44">
        <v>1000</v>
      </c>
      <c r="F80" s="29">
        <f>$C$80</f>
        <v>1000</v>
      </c>
      <c r="G80" s="29">
        <f t="shared" ref="G80:J80" si="21">$C$80</f>
        <v>1000</v>
      </c>
      <c r="H80" s="29">
        <f t="shared" si="21"/>
        <v>1000</v>
      </c>
      <c r="I80" s="29">
        <f t="shared" si="21"/>
        <v>1000</v>
      </c>
      <c r="J80" s="29">
        <f t="shared" si="21"/>
        <v>1000</v>
      </c>
    </row>
    <row r="81" spans="2:10" x14ac:dyDescent="0.25">
      <c r="B81" s="72" t="s">
        <v>278</v>
      </c>
      <c r="C81" s="61" t="s">
        <v>227</v>
      </c>
      <c r="F81" s="26">
        <f>F79*F80</f>
        <v>820000</v>
      </c>
      <c r="G81" s="26">
        <f t="shared" ref="G81:J81" si="22">G79*G80</f>
        <v>491000</v>
      </c>
      <c r="H81" s="26">
        <f t="shared" si="22"/>
        <v>383000</v>
      </c>
      <c r="I81" s="26">
        <f t="shared" si="22"/>
        <v>877000</v>
      </c>
      <c r="J81" s="26">
        <f t="shared" si="22"/>
        <v>2352000</v>
      </c>
    </row>
    <row r="83" spans="2:10" x14ac:dyDescent="0.25">
      <c r="B83" s="10" t="s">
        <v>284</v>
      </c>
    </row>
    <row r="85" spans="2:10" x14ac:dyDescent="0.25">
      <c r="B85" s="32" t="s">
        <v>279</v>
      </c>
      <c r="C85" s="1" t="s">
        <v>237</v>
      </c>
      <c r="F85" s="29">
        <f>F73/6</f>
        <v>18494833.333333332</v>
      </c>
      <c r="G85" s="29">
        <f t="shared" ref="G85:J85" si="23">G73/6</f>
        <v>15006666.666666666</v>
      </c>
      <c r="H85" s="29">
        <f t="shared" si="23"/>
        <v>10985833.333333334</v>
      </c>
      <c r="I85" s="29">
        <f t="shared" si="23"/>
        <v>11566833.333333334</v>
      </c>
      <c r="J85" s="29">
        <f t="shared" si="23"/>
        <v>14395333.333333334</v>
      </c>
    </row>
    <row r="86" spans="2:10" x14ac:dyDescent="0.25">
      <c r="B86" s="32" t="s">
        <v>280</v>
      </c>
      <c r="C86" s="1" t="s">
        <v>237</v>
      </c>
      <c r="F86" s="29">
        <f>F77</f>
        <v>305000</v>
      </c>
      <c r="G86" s="29">
        <f t="shared" ref="G86:J86" si="24">G77</f>
        <v>211000</v>
      </c>
      <c r="H86" s="29">
        <f t="shared" si="24"/>
        <v>341000</v>
      </c>
      <c r="I86" s="29">
        <f t="shared" si="24"/>
        <v>1572000</v>
      </c>
      <c r="J86" s="29">
        <f t="shared" si="24"/>
        <v>9259000</v>
      </c>
    </row>
    <row r="87" spans="2:10" ht="16.5" thickBot="1" x14ac:dyDescent="0.3">
      <c r="B87" s="32" t="s">
        <v>277</v>
      </c>
      <c r="C87" s="1" t="s">
        <v>237</v>
      </c>
      <c r="F87" s="29">
        <f>F81</f>
        <v>820000</v>
      </c>
      <c r="G87" s="29">
        <f t="shared" ref="G87:J87" si="25">G81</f>
        <v>491000</v>
      </c>
      <c r="H87" s="29">
        <f t="shared" si="25"/>
        <v>383000</v>
      </c>
      <c r="I87" s="29">
        <f t="shared" si="25"/>
        <v>877000</v>
      </c>
      <c r="J87" s="29">
        <f t="shared" si="25"/>
        <v>2352000</v>
      </c>
    </row>
    <row r="88" spans="2:10" x14ac:dyDescent="0.25">
      <c r="B88" s="19" t="s">
        <v>281</v>
      </c>
      <c r="C88" s="1" t="s">
        <v>237</v>
      </c>
      <c r="F88" s="26">
        <f>SUM(F85:F87)</f>
        <v>19619833.333333332</v>
      </c>
      <c r="G88" s="26">
        <f t="shared" ref="G88:J88" si="26">SUM(G85:G87)</f>
        <v>15708666.666666666</v>
      </c>
      <c r="H88" s="26">
        <f t="shared" si="26"/>
        <v>11709833.333333334</v>
      </c>
      <c r="I88" s="26">
        <f t="shared" si="26"/>
        <v>14015833.333333334</v>
      </c>
      <c r="J88" s="26">
        <f t="shared" si="26"/>
        <v>26006333.333333336</v>
      </c>
    </row>
    <row r="89" spans="2:10" x14ac:dyDescent="0.25">
      <c r="B89" s="19" t="s">
        <v>282</v>
      </c>
      <c r="C89" s="1" t="s">
        <v>230</v>
      </c>
      <c r="F89" s="27">
        <f>F88/1000</f>
        <v>19619.833333333332</v>
      </c>
      <c r="G89" s="27">
        <f t="shared" ref="G89:J89" si="27">G88/1000</f>
        <v>15708.666666666666</v>
      </c>
      <c r="H89" s="27">
        <f t="shared" si="27"/>
        <v>11709.833333333334</v>
      </c>
      <c r="I89" s="27">
        <f t="shared" si="27"/>
        <v>14015.833333333334</v>
      </c>
      <c r="J89" s="27">
        <f t="shared" si="27"/>
        <v>26006.333333333336</v>
      </c>
    </row>
    <row r="91" spans="2:10" x14ac:dyDescent="0.25">
      <c r="B91" s="10" t="s">
        <v>334</v>
      </c>
    </row>
    <row r="92" spans="2:10" x14ac:dyDescent="0.25">
      <c r="B92" s="32" t="s">
        <v>335</v>
      </c>
      <c r="C92" s="1" t="s">
        <v>312</v>
      </c>
      <c r="F92" s="69">
        <f>F85/F88</f>
        <v>0.94266006337124852</v>
      </c>
      <c r="G92" s="69">
        <f t="shared" ref="G92:J92" si="28">G85/G88</f>
        <v>0.95531129312905827</v>
      </c>
      <c r="H92" s="69">
        <f t="shared" si="28"/>
        <v>0.93817162214093563</v>
      </c>
      <c r="I92" s="69">
        <f t="shared" si="28"/>
        <v>0.82526904096557463</v>
      </c>
      <c r="J92" s="69">
        <f t="shared" si="28"/>
        <v>0.55353183198964351</v>
      </c>
    </row>
    <row r="93" spans="2:10" x14ac:dyDescent="0.25">
      <c r="B93" s="32" t="s">
        <v>336</v>
      </c>
      <c r="C93" s="1" t="s">
        <v>312</v>
      </c>
      <c r="F93" s="69">
        <f>F86/F88</f>
        <v>1.5545493930461524E-2</v>
      </c>
      <c r="G93" s="69">
        <f t="shared" ref="G93:J93" si="29">G86/G88</f>
        <v>1.3432075711921234E-2</v>
      </c>
      <c r="H93" s="69">
        <f t="shared" si="29"/>
        <v>2.9120824378371452E-2</v>
      </c>
      <c r="I93" s="69">
        <f t="shared" si="29"/>
        <v>0.11215886794696474</v>
      </c>
      <c r="J93" s="69">
        <f t="shared" si="29"/>
        <v>0.35602865968546121</v>
      </c>
    </row>
    <row r="94" spans="2:10" x14ac:dyDescent="0.25">
      <c r="B94" s="32" t="s">
        <v>337</v>
      </c>
      <c r="C94" s="1" t="s">
        <v>312</v>
      </c>
      <c r="F94" s="69">
        <f>F87/F88</f>
        <v>4.1794442698289996E-2</v>
      </c>
      <c r="G94" s="69">
        <f t="shared" ref="G94:J94" si="30">G87/G88</f>
        <v>3.1256631159020498E-2</v>
      </c>
      <c r="H94" s="69">
        <f t="shared" si="30"/>
        <v>3.2707553480692861E-2</v>
      </c>
      <c r="I94" s="69">
        <f t="shared" si="30"/>
        <v>6.2572091087460605E-2</v>
      </c>
      <c r="J94" s="69">
        <f t="shared" si="30"/>
        <v>9.043950832489521E-2</v>
      </c>
    </row>
    <row r="96" spans="2:10" x14ac:dyDescent="0.25">
      <c r="B96" s="10" t="s">
        <v>285</v>
      </c>
    </row>
    <row r="97" spans="2:10" x14ac:dyDescent="0.25">
      <c r="B97" s="10"/>
    </row>
    <row r="98" spans="2:10" x14ac:dyDescent="0.25">
      <c r="B98" s="10" t="s">
        <v>300</v>
      </c>
      <c r="C98" s="10" t="s">
        <v>226</v>
      </c>
    </row>
    <row r="99" spans="2:10" x14ac:dyDescent="0.25">
      <c r="B99" s="10"/>
      <c r="C99" s="10"/>
    </row>
    <row r="100" spans="2:10" x14ac:dyDescent="0.25">
      <c r="B100" s="32" t="s">
        <v>288</v>
      </c>
      <c r="C100" s="44" t="s">
        <v>215</v>
      </c>
      <c r="F100" s="29">
        <v>72226</v>
      </c>
      <c r="G100" s="29">
        <v>78966</v>
      </c>
      <c r="H100" s="29">
        <v>47555</v>
      </c>
      <c r="I100" s="29">
        <v>56851</v>
      </c>
      <c r="J100" s="29">
        <v>75849</v>
      </c>
    </row>
    <row r="101" spans="2:10" ht="16.5" thickBot="1" x14ac:dyDescent="0.3">
      <c r="B101" s="32" t="s">
        <v>221</v>
      </c>
      <c r="C101" s="44">
        <v>1000</v>
      </c>
      <c r="F101" s="29">
        <f>$C101</f>
        <v>1000</v>
      </c>
      <c r="G101" s="29">
        <f t="shared" ref="G101:I101" si="31">$C101</f>
        <v>1000</v>
      </c>
      <c r="H101" s="29">
        <f t="shared" si="31"/>
        <v>1000</v>
      </c>
      <c r="I101" s="29">
        <f t="shared" si="31"/>
        <v>1000</v>
      </c>
      <c r="J101" s="29">
        <f>$C101</f>
        <v>1000</v>
      </c>
    </row>
    <row r="102" spans="2:10" x14ac:dyDescent="0.25">
      <c r="B102" s="19" t="s">
        <v>287</v>
      </c>
      <c r="C102" s="44" t="s">
        <v>214</v>
      </c>
      <c r="F102" s="26">
        <f>F100*F101</f>
        <v>72226000</v>
      </c>
      <c r="G102" s="26">
        <f t="shared" ref="G102:J102" si="32">G100*G101</f>
        <v>78966000</v>
      </c>
      <c r="H102" s="26">
        <f t="shared" si="32"/>
        <v>47555000</v>
      </c>
      <c r="I102" s="26">
        <f t="shared" si="32"/>
        <v>56851000</v>
      </c>
      <c r="J102" s="26">
        <f t="shared" si="32"/>
        <v>75849000</v>
      </c>
    </row>
    <row r="103" spans="2:10" x14ac:dyDescent="0.25">
      <c r="B103" s="32"/>
      <c r="C103" s="44"/>
      <c r="F103" s="17"/>
      <c r="G103" s="17"/>
      <c r="H103" s="17"/>
      <c r="I103" s="17"/>
      <c r="J103" s="17"/>
    </row>
    <row r="104" spans="2:10" x14ac:dyDescent="0.25">
      <c r="B104" s="32" t="s">
        <v>289</v>
      </c>
      <c r="C104" s="44" t="s">
        <v>229</v>
      </c>
      <c r="F104" s="29">
        <v>66</v>
      </c>
      <c r="G104" s="29">
        <v>107</v>
      </c>
      <c r="H104" s="29">
        <v>272</v>
      </c>
      <c r="I104" s="29">
        <v>847</v>
      </c>
      <c r="J104" s="29">
        <v>4000</v>
      </c>
    </row>
    <row r="105" spans="2:10" ht="16.5" thickBot="1" x14ac:dyDescent="0.3">
      <c r="B105" s="32" t="s">
        <v>286</v>
      </c>
      <c r="C105" s="44">
        <v>1000</v>
      </c>
      <c r="F105" s="29">
        <f>$C105</f>
        <v>1000</v>
      </c>
      <c r="G105" s="29">
        <f t="shared" ref="G105:I105" si="33">$C105</f>
        <v>1000</v>
      </c>
      <c r="H105" s="29">
        <f t="shared" si="33"/>
        <v>1000</v>
      </c>
      <c r="I105" s="29">
        <f t="shared" si="33"/>
        <v>1000</v>
      </c>
      <c r="J105" s="29">
        <f>$C105</f>
        <v>1000</v>
      </c>
    </row>
    <row r="106" spans="2:10" x14ac:dyDescent="0.25">
      <c r="B106" s="19" t="s">
        <v>294</v>
      </c>
      <c r="C106" s="44" t="s">
        <v>227</v>
      </c>
      <c r="F106" s="26">
        <f>F104*F105</f>
        <v>66000</v>
      </c>
      <c r="G106" s="26">
        <f t="shared" ref="G106" si="34">G104*G105</f>
        <v>107000</v>
      </c>
      <c r="H106" s="26">
        <f t="shared" ref="H106" si="35">H104*H105</f>
        <v>272000</v>
      </c>
      <c r="I106" s="26">
        <f t="shared" ref="I106" si="36">I104*I105</f>
        <v>847000</v>
      </c>
      <c r="J106" s="26">
        <f t="shared" ref="J106" si="37">J104*J105</f>
        <v>4000000</v>
      </c>
    </row>
    <row r="107" spans="2:10" x14ac:dyDescent="0.25">
      <c r="B107" s="32"/>
      <c r="C107" s="44"/>
      <c r="F107" s="17"/>
      <c r="G107" s="17"/>
      <c r="H107" s="17"/>
      <c r="I107" s="17"/>
      <c r="J107" s="17"/>
    </row>
    <row r="108" spans="2:10" x14ac:dyDescent="0.25">
      <c r="B108" s="32" t="s">
        <v>290</v>
      </c>
      <c r="C108" s="44" t="s">
        <v>229</v>
      </c>
      <c r="F108" s="29">
        <v>157</v>
      </c>
      <c r="G108" s="29">
        <v>198</v>
      </c>
      <c r="H108" s="29">
        <v>249</v>
      </c>
      <c r="I108" s="29">
        <v>490</v>
      </c>
      <c r="J108" s="29">
        <v>1599</v>
      </c>
    </row>
    <row r="109" spans="2:10" ht="16.5" thickBot="1" x14ac:dyDescent="0.3">
      <c r="B109" s="32" t="s">
        <v>286</v>
      </c>
      <c r="C109" s="44">
        <v>1000</v>
      </c>
      <c r="F109" s="29">
        <f>$C109</f>
        <v>1000</v>
      </c>
      <c r="G109" s="29">
        <f t="shared" ref="G109:I109" si="38">$C109</f>
        <v>1000</v>
      </c>
      <c r="H109" s="29">
        <f t="shared" si="38"/>
        <v>1000</v>
      </c>
      <c r="I109" s="29">
        <f t="shared" si="38"/>
        <v>1000</v>
      </c>
      <c r="J109" s="29">
        <f>$C109</f>
        <v>1000</v>
      </c>
    </row>
    <row r="110" spans="2:10" x14ac:dyDescent="0.25">
      <c r="B110" s="19" t="s">
        <v>295</v>
      </c>
      <c r="C110" s="44" t="s">
        <v>227</v>
      </c>
      <c r="F110" s="26">
        <f>F108*F109</f>
        <v>157000</v>
      </c>
      <c r="G110" s="26">
        <f t="shared" ref="G110" si="39">G108*G109</f>
        <v>198000</v>
      </c>
      <c r="H110" s="26">
        <f t="shared" ref="H110" si="40">H108*H109</f>
        <v>249000</v>
      </c>
      <c r="I110" s="26">
        <f t="shared" ref="I110" si="41">I108*I109</f>
        <v>490000</v>
      </c>
      <c r="J110" s="26">
        <f t="shared" ref="J110" si="42">J108*J109</f>
        <v>1599000</v>
      </c>
    </row>
    <row r="111" spans="2:10" x14ac:dyDescent="0.25">
      <c r="C111" s="44"/>
    </row>
    <row r="112" spans="2:10" x14ac:dyDescent="0.25">
      <c r="B112" s="10" t="s">
        <v>301</v>
      </c>
      <c r="C112" s="33" t="s">
        <v>226</v>
      </c>
    </row>
    <row r="113" spans="2:10" x14ac:dyDescent="0.25">
      <c r="B113" s="10"/>
      <c r="C113" s="44"/>
    </row>
    <row r="114" spans="2:10" x14ac:dyDescent="0.25">
      <c r="B114" s="32" t="s">
        <v>291</v>
      </c>
      <c r="C114" s="44" t="s">
        <v>215</v>
      </c>
      <c r="F114" s="29">
        <v>38743</v>
      </c>
      <c r="G114" s="29">
        <v>11074</v>
      </c>
      <c r="H114" s="29">
        <v>18361</v>
      </c>
      <c r="I114" s="29">
        <v>12550</v>
      </c>
      <c r="J114" s="29">
        <v>10523</v>
      </c>
    </row>
    <row r="115" spans="2:10" ht="16.5" thickBot="1" x14ac:dyDescent="0.3">
      <c r="B115" s="32" t="s">
        <v>221</v>
      </c>
      <c r="C115" s="44">
        <v>1000</v>
      </c>
      <c r="F115" s="29">
        <f>$C115</f>
        <v>1000</v>
      </c>
      <c r="G115" s="29">
        <f t="shared" ref="G115:I115" si="43">$C115</f>
        <v>1000</v>
      </c>
      <c r="H115" s="29">
        <f t="shared" si="43"/>
        <v>1000</v>
      </c>
      <c r="I115" s="29">
        <f t="shared" si="43"/>
        <v>1000</v>
      </c>
      <c r="J115" s="29">
        <f>$C115</f>
        <v>1000</v>
      </c>
    </row>
    <row r="116" spans="2:10" x14ac:dyDescent="0.25">
      <c r="B116" s="19" t="s">
        <v>296</v>
      </c>
      <c r="C116" s="44" t="s">
        <v>214</v>
      </c>
      <c r="F116" s="26">
        <f>F114*F115</f>
        <v>38743000</v>
      </c>
      <c r="G116" s="26">
        <f t="shared" ref="G116" si="44">G114*G115</f>
        <v>11074000</v>
      </c>
      <c r="H116" s="26">
        <f t="shared" ref="H116" si="45">H114*H115</f>
        <v>18361000</v>
      </c>
      <c r="I116" s="26">
        <f t="shared" ref="I116" si="46">I114*I115</f>
        <v>12550000</v>
      </c>
      <c r="J116" s="26">
        <f t="shared" ref="J116" si="47">J114*J115</f>
        <v>10523000</v>
      </c>
    </row>
    <row r="117" spans="2:10" x14ac:dyDescent="0.25">
      <c r="B117" s="32"/>
      <c r="C117" s="44"/>
      <c r="F117" s="17"/>
      <c r="G117" s="17"/>
      <c r="H117" s="17"/>
      <c r="I117" s="17"/>
      <c r="J117" s="17"/>
    </row>
    <row r="118" spans="2:10" x14ac:dyDescent="0.25">
      <c r="B118" s="32" t="s">
        <v>292</v>
      </c>
      <c r="C118" s="44" t="s">
        <v>229</v>
      </c>
      <c r="F118" s="29">
        <v>239</v>
      </c>
      <c r="G118" s="29">
        <v>104</v>
      </c>
      <c r="H118" s="29">
        <v>69</v>
      </c>
      <c r="I118" s="29">
        <v>725</v>
      </c>
      <c r="J118" s="29">
        <v>5259</v>
      </c>
    </row>
    <row r="119" spans="2:10" ht="16.5" thickBot="1" x14ac:dyDescent="0.3">
      <c r="B119" s="32" t="s">
        <v>286</v>
      </c>
      <c r="C119" s="44">
        <v>1000</v>
      </c>
      <c r="F119" s="29">
        <f>$C119</f>
        <v>1000</v>
      </c>
      <c r="G119" s="29">
        <f t="shared" ref="G119:I119" si="48">$C119</f>
        <v>1000</v>
      </c>
      <c r="H119" s="29">
        <f t="shared" si="48"/>
        <v>1000</v>
      </c>
      <c r="I119" s="29">
        <f t="shared" si="48"/>
        <v>1000</v>
      </c>
      <c r="J119" s="29">
        <f>$C119</f>
        <v>1000</v>
      </c>
    </row>
    <row r="120" spans="2:10" x14ac:dyDescent="0.25">
      <c r="B120" s="19" t="s">
        <v>297</v>
      </c>
      <c r="C120" s="44" t="s">
        <v>227</v>
      </c>
      <c r="F120" s="26">
        <f>F118*F119</f>
        <v>239000</v>
      </c>
      <c r="G120" s="26">
        <f t="shared" ref="G120" si="49">G118*G119</f>
        <v>104000</v>
      </c>
      <c r="H120" s="26">
        <f t="shared" ref="H120" si="50">H118*H119</f>
        <v>69000</v>
      </c>
      <c r="I120" s="26">
        <f t="shared" ref="I120" si="51">I118*I119</f>
        <v>725000</v>
      </c>
      <c r="J120" s="26">
        <f t="shared" ref="J120" si="52">J118*J119</f>
        <v>5259000</v>
      </c>
    </row>
    <row r="121" spans="2:10" x14ac:dyDescent="0.25">
      <c r="B121" s="32"/>
      <c r="C121" s="44"/>
      <c r="F121" s="17"/>
      <c r="G121" s="17"/>
      <c r="H121" s="17"/>
      <c r="I121" s="17"/>
      <c r="J121" s="17"/>
    </row>
    <row r="122" spans="2:10" x14ac:dyDescent="0.25">
      <c r="B122" s="32" t="s">
        <v>293</v>
      </c>
      <c r="C122" s="44" t="s">
        <v>229</v>
      </c>
      <c r="F122" s="29">
        <v>663</v>
      </c>
      <c r="G122" s="29">
        <v>293</v>
      </c>
      <c r="H122" s="29">
        <v>134</v>
      </c>
      <c r="I122" s="29">
        <v>387</v>
      </c>
      <c r="J122" s="29">
        <v>753</v>
      </c>
    </row>
    <row r="123" spans="2:10" ht="16.5" thickBot="1" x14ac:dyDescent="0.3">
      <c r="B123" s="32" t="s">
        <v>286</v>
      </c>
      <c r="C123" s="44">
        <v>1000</v>
      </c>
      <c r="F123" s="29">
        <f>$C123</f>
        <v>1000</v>
      </c>
      <c r="G123" s="29">
        <f t="shared" ref="G123:I123" si="53">$C123</f>
        <v>1000</v>
      </c>
      <c r="H123" s="29">
        <f t="shared" si="53"/>
        <v>1000</v>
      </c>
      <c r="I123" s="29">
        <f t="shared" si="53"/>
        <v>1000</v>
      </c>
      <c r="J123" s="29">
        <f>$C123</f>
        <v>1000</v>
      </c>
    </row>
    <row r="124" spans="2:10" x14ac:dyDescent="0.25">
      <c r="B124" s="19" t="s">
        <v>298</v>
      </c>
      <c r="C124" s="44" t="s">
        <v>227</v>
      </c>
      <c r="F124" s="26">
        <f>F122*F123</f>
        <v>663000</v>
      </c>
      <c r="G124" s="26">
        <f t="shared" ref="G124" si="54">G122*G123</f>
        <v>293000</v>
      </c>
      <c r="H124" s="26">
        <f t="shared" ref="H124" si="55">H122*H123</f>
        <v>134000</v>
      </c>
      <c r="I124" s="26">
        <f t="shared" ref="I124" si="56">I122*I123</f>
        <v>387000</v>
      </c>
      <c r="J124" s="26">
        <f t="shared" ref="J124" si="57">J122*J123</f>
        <v>753000</v>
      </c>
    </row>
    <row r="125" spans="2:10" x14ac:dyDescent="0.25">
      <c r="C125" s="44"/>
    </row>
    <row r="127" spans="2:10" x14ac:dyDescent="0.25">
      <c r="B127" s="10" t="s">
        <v>302</v>
      </c>
      <c r="C127" s="10" t="s">
        <v>226</v>
      </c>
    </row>
    <row r="129" spans="2:10" x14ac:dyDescent="0.25">
      <c r="B129" s="10" t="s">
        <v>300</v>
      </c>
    </row>
    <row r="130" spans="2:10" x14ac:dyDescent="0.25">
      <c r="B130" s="32" t="s">
        <v>303</v>
      </c>
      <c r="C130" s="1" t="s">
        <v>237</v>
      </c>
      <c r="F130" s="29">
        <f>F102/6</f>
        <v>12037666.666666666</v>
      </c>
      <c r="G130" s="29">
        <f t="shared" ref="G130:J130" si="58">G102/6</f>
        <v>13161000</v>
      </c>
      <c r="H130" s="29">
        <f t="shared" si="58"/>
        <v>7925833.333333333</v>
      </c>
      <c r="I130" s="29">
        <f t="shared" si="58"/>
        <v>9475166.666666666</v>
      </c>
      <c r="J130" s="29">
        <f t="shared" si="58"/>
        <v>12641500</v>
      </c>
    </row>
    <row r="131" spans="2:10" x14ac:dyDescent="0.25">
      <c r="B131" s="32" t="s">
        <v>304</v>
      </c>
      <c r="C131" s="1" t="s">
        <v>237</v>
      </c>
      <c r="F131" s="29">
        <f>F106</f>
        <v>66000</v>
      </c>
      <c r="G131" s="29">
        <f t="shared" ref="G131:J131" si="59">G106</f>
        <v>107000</v>
      </c>
      <c r="H131" s="29">
        <f t="shared" si="59"/>
        <v>272000</v>
      </c>
      <c r="I131" s="29">
        <f t="shared" si="59"/>
        <v>847000</v>
      </c>
      <c r="J131" s="29">
        <f t="shared" si="59"/>
        <v>4000000</v>
      </c>
    </row>
    <row r="132" spans="2:10" ht="16.5" thickBot="1" x14ac:dyDescent="0.3">
      <c r="B132" s="32" t="s">
        <v>305</v>
      </c>
      <c r="C132" s="1" t="s">
        <v>237</v>
      </c>
      <c r="F132" s="29">
        <f>F110</f>
        <v>157000</v>
      </c>
      <c r="G132" s="29">
        <f t="shared" ref="G132:J132" si="60">G110</f>
        <v>198000</v>
      </c>
      <c r="H132" s="29">
        <f t="shared" si="60"/>
        <v>249000</v>
      </c>
      <c r="I132" s="29">
        <f t="shared" si="60"/>
        <v>490000</v>
      </c>
      <c r="J132" s="29">
        <f t="shared" si="60"/>
        <v>1599000</v>
      </c>
    </row>
    <row r="133" spans="2:10" x14ac:dyDescent="0.25">
      <c r="B133" s="10" t="s">
        <v>309</v>
      </c>
      <c r="C133" s="10" t="s">
        <v>237</v>
      </c>
      <c r="F133" s="26">
        <f>SUM(F130:F132)</f>
        <v>12260666.666666666</v>
      </c>
      <c r="G133" s="26">
        <f t="shared" ref="G133:J133" si="61">SUM(G130:G132)</f>
        <v>13466000</v>
      </c>
      <c r="H133" s="26">
        <f t="shared" si="61"/>
        <v>8446833.3333333321</v>
      </c>
      <c r="I133" s="26">
        <f t="shared" si="61"/>
        <v>10812166.666666666</v>
      </c>
      <c r="J133" s="26">
        <f t="shared" si="61"/>
        <v>18240500</v>
      </c>
    </row>
    <row r="135" spans="2:10" x14ac:dyDescent="0.25">
      <c r="B135" s="10" t="s">
        <v>301</v>
      </c>
    </row>
    <row r="136" spans="2:10" x14ac:dyDescent="0.25">
      <c r="B136" s="32" t="s">
        <v>306</v>
      </c>
      <c r="C136" s="1" t="s">
        <v>237</v>
      </c>
      <c r="F136" s="29">
        <f>F116/6</f>
        <v>6457166.666666667</v>
      </c>
      <c r="G136" s="29">
        <f t="shared" ref="G136:J136" si="62">G116/6</f>
        <v>1845666.6666666667</v>
      </c>
      <c r="H136" s="29">
        <f t="shared" si="62"/>
        <v>3060166.6666666665</v>
      </c>
      <c r="I136" s="29">
        <f t="shared" si="62"/>
        <v>2091666.6666666667</v>
      </c>
      <c r="J136" s="29">
        <f t="shared" si="62"/>
        <v>1753833.3333333333</v>
      </c>
    </row>
    <row r="137" spans="2:10" x14ac:dyDescent="0.25">
      <c r="B137" s="32" t="s">
        <v>307</v>
      </c>
      <c r="C137" s="1" t="s">
        <v>237</v>
      </c>
      <c r="F137" s="29">
        <f>F120</f>
        <v>239000</v>
      </c>
      <c r="G137" s="29">
        <f t="shared" ref="G137:J137" si="63">G120</f>
        <v>104000</v>
      </c>
      <c r="H137" s="29">
        <f t="shared" si="63"/>
        <v>69000</v>
      </c>
      <c r="I137" s="29">
        <f t="shared" si="63"/>
        <v>725000</v>
      </c>
      <c r="J137" s="29">
        <f t="shared" si="63"/>
        <v>5259000</v>
      </c>
    </row>
    <row r="138" spans="2:10" ht="16.5" thickBot="1" x14ac:dyDescent="0.3">
      <c r="B138" s="32" t="s">
        <v>308</v>
      </c>
      <c r="C138" s="1" t="s">
        <v>237</v>
      </c>
      <c r="F138" s="29">
        <f>F124</f>
        <v>663000</v>
      </c>
      <c r="G138" s="29">
        <f t="shared" ref="G138:J138" si="64">G124</f>
        <v>293000</v>
      </c>
      <c r="H138" s="29">
        <f t="shared" si="64"/>
        <v>134000</v>
      </c>
      <c r="I138" s="29">
        <f t="shared" si="64"/>
        <v>387000</v>
      </c>
      <c r="J138" s="29">
        <f t="shared" si="64"/>
        <v>753000</v>
      </c>
    </row>
    <row r="139" spans="2:10" x14ac:dyDescent="0.25">
      <c r="B139" s="10" t="s">
        <v>310</v>
      </c>
      <c r="C139" s="10" t="s">
        <v>237</v>
      </c>
      <c r="F139" s="26">
        <f>SUM(F136:F138)</f>
        <v>7359166.666666667</v>
      </c>
      <c r="G139" s="26">
        <f t="shared" ref="G139:J139" si="65">SUM(G136:G138)</f>
        <v>2242666.666666667</v>
      </c>
      <c r="H139" s="26">
        <f t="shared" si="65"/>
        <v>3263166.6666666665</v>
      </c>
      <c r="I139" s="26">
        <f t="shared" si="65"/>
        <v>3203666.666666667</v>
      </c>
      <c r="J139" s="26">
        <f t="shared" si="65"/>
        <v>7765833.333333333</v>
      </c>
    </row>
    <row r="142" spans="2:10" x14ac:dyDescent="0.25">
      <c r="B142" s="10" t="s">
        <v>311</v>
      </c>
    </row>
    <row r="144" spans="2:10" x14ac:dyDescent="0.25">
      <c r="B144" s="10" t="s">
        <v>313</v>
      </c>
      <c r="C144" s="1" t="s">
        <v>230</v>
      </c>
      <c r="D144" s="1" t="s">
        <v>314</v>
      </c>
      <c r="F144" s="81">
        <f>F88/F32</f>
        <v>11.150800416785071</v>
      </c>
      <c r="G144" s="81">
        <f>G88/G32</f>
        <v>9.4640024098805107</v>
      </c>
      <c r="H144" s="81">
        <f>H88/H32</f>
        <v>7.8379071842927273</v>
      </c>
      <c r="I144" s="81">
        <f>I88/I32</f>
        <v>10.952722063037251</v>
      </c>
      <c r="J144" s="81">
        <f>J88/J32</f>
        <v>13.195602536997887</v>
      </c>
    </row>
    <row r="145" spans="2:10" x14ac:dyDescent="0.25">
      <c r="B145" s="10" t="s">
        <v>320</v>
      </c>
      <c r="C145" s="1" t="s">
        <v>237</v>
      </c>
      <c r="D145" s="1" t="s">
        <v>317</v>
      </c>
      <c r="F145" s="70">
        <f>F133/F88</f>
        <v>0.62491186639370022</v>
      </c>
      <c r="G145" s="70">
        <f>G133/G88</f>
        <v>0.85723379875228112</v>
      </c>
      <c r="H145" s="70">
        <f>H133/H88</f>
        <v>0.72134530807441022</v>
      </c>
      <c r="I145" s="70">
        <f>I133/I88</f>
        <v>0.77142517391045828</v>
      </c>
      <c r="J145" s="70">
        <f>J133/J88</f>
        <v>0.70138684166677345</v>
      </c>
    </row>
    <row r="146" spans="2:10" x14ac:dyDescent="0.25">
      <c r="B146" s="10" t="s">
        <v>315</v>
      </c>
      <c r="C146" s="1" t="s">
        <v>237</v>
      </c>
      <c r="D146" s="1" t="s">
        <v>316</v>
      </c>
      <c r="F146" s="70">
        <f>F139/F88</f>
        <v>0.37508813360629978</v>
      </c>
      <c r="G146" s="70">
        <f>G139/G88</f>
        <v>0.14276620124771891</v>
      </c>
      <c r="H146" s="70">
        <f>H139/H88</f>
        <v>0.27866892497758289</v>
      </c>
      <c r="I146" s="70">
        <f>I139/I88</f>
        <v>0.22857482608954161</v>
      </c>
      <c r="J146" s="70">
        <f>J139/J88</f>
        <v>0.29861315833322649</v>
      </c>
    </row>
    <row r="147" spans="2:10" x14ac:dyDescent="0.25">
      <c r="B147" s="10" t="s">
        <v>318</v>
      </c>
      <c r="C147" s="1" t="s">
        <v>319</v>
      </c>
      <c r="D147" s="1" t="s">
        <v>321</v>
      </c>
      <c r="F147" s="71">
        <f>F88/'Historical Financials'!F240</f>
        <v>0.82895323034593427</v>
      </c>
      <c r="G147" s="71">
        <f>G88/'Historical Financials'!G240</f>
        <v>0.67952454103615334</v>
      </c>
      <c r="H147" s="71">
        <f>H88/'Historical Financials'!H240</f>
        <v>0.52861654401625247</v>
      </c>
      <c r="I147" s="71">
        <f>I88/'Historical Financials'!I240</f>
        <v>0.63682958569023518</v>
      </c>
      <c r="J147" s="71">
        <f>J88/'Historical Financials'!J240</f>
        <v>0.85999836419644904</v>
      </c>
    </row>
    <row r="148" spans="2:10" x14ac:dyDescent="0.25">
      <c r="B148" s="10" t="s">
        <v>322</v>
      </c>
      <c r="C148" s="1" t="s">
        <v>312</v>
      </c>
      <c r="F148" s="43"/>
      <c r="G148" s="70">
        <f>(G88/F88)-1</f>
        <v>-0.19934759894324616</v>
      </c>
      <c r="H148" s="70">
        <f>(H88/G88)-1</f>
        <v>-0.25456223740610273</v>
      </c>
      <c r="I148" s="70">
        <f>(I88/H88)-1</f>
        <v>0.19692850737983747</v>
      </c>
      <c r="J148" s="70">
        <f>(J88/I88)-1</f>
        <v>0.8554967596170997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8928-991C-A241-A305-334F98765BEE}">
  <dimension ref="B2:L41"/>
  <sheetViews>
    <sheetView showGridLines="0" zoomScaleNormal="100" workbookViewId="0">
      <selection activeCell="G39" sqref="G39"/>
    </sheetView>
  </sheetViews>
  <sheetFormatPr defaultColWidth="11" defaultRowHeight="15.75" x14ac:dyDescent="0.25"/>
  <cols>
    <col min="1" max="3" width="11" style="1"/>
    <col min="4" max="4" width="16.125" style="1" customWidth="1"/>
    <col min="5" max="5" width="14.625" style="1" customWidth="1"/>
    <col min="6" max="9" width="11" style="1"/>
    <col min="10" max="10" width="16.625" style="1" bestFit="1" customWidth="1"/>
    <col min="11" max="16384" width="11" style="1"/>
  </cols>
  <sheetData>
    <row r="2" spans="2:12" ht="27.75" x14ac:dyDescent="0.4">
      <c r="B2" s="45" t="s">
        <v>2</v>
      </c>
      <c r="C2" s="53"/>
      <c r="D2" s="53"/>
      <c r="E2" s="53"/>
      <c r="F2" s="54"/>
      <c r="G2" s="54"/>
      <c r="H2" s="54"/>
      <c r="I2" s="54"/>
      <c r="J2" s="54"/>
      <c r="K2" s="53"/>
      <c r="L2" s="53"/>
    </row>
    <row r="5" spans="2:12" ht="23.25" x14ac:dyDescent="0.35">
      <c r="B5" s="46" t="s">
        <v>338</v>
      </c>
      <c r="C5" s="53"/>
      <c r="D5" s="53"/>
      <c r="E5" s="53"/>
      <c r="F5" s="54"/>
      <c r="G5" s="54"/>
      <c r="H5" s="54"/>
      <c r="I5" s="54"/>
      <c r="J5" s="54"/>
      <c r="K5" s="53"/>
      <c r="L5" s="53"/>
    </row>
    <row r="6" spans="2:12" ht="16.5" thickBot="1" x14ac:dyDescent="0.3"/>
    <row r="7" spans="2:12" x14ac:dyDescent="0.25">
      <c r="B7" s="1" t="s">
        <v>0</v>
      </c>
      <c r="E7" s="75">
        <v>5.28</v>
      </c>
      <c r="G7" s="10" t="s">
        <v>1</v>
      </c>
      <c r="H7" s="10"/>
      <c r="I7" s="10"/>
      <c r="J7" s="26">
        <f>E7*E11</f>
        <v>159667094.40000001</v>
      </c>
    </row>
    <row r="8" spans="2:12" x14ac:dyDescent="0.25">
      <c r="B8" s="1" t="s">
        <v>339</v>
      </c>
      <c r="E8" s="76" t="s">
        <v>352</v>
      </c>
      <c r="G8" s="10" t="s">
        <v>341</v>
      </c>
      <c r="H8" s="10"/>
      <c r="I8" s="10"/>
      <c r="J8" s="25">
        <f>E7*E16</f>
        <v>163794956.16</v>
      </c>
    </row>
    <row r="9" spans="2:12" x14ac:dyDescent="0.25">
      <c r="E9" s="74"/>
    </row>
    <row r="10" spans="2:12" x14ac:dyDescent="0.25">
      <c r="B10" s="10" t="s">
        <v>344</v>
      </c>
      <c r="E10" s="74"/>
    </row>
    <row r="11" spans="2:12" x14ac:dyDescent="0.25">
      <c r="B11" s="32" t="s">
        <v>3</v>
      </c>
      <c r="C11" s="15"/>
      <c r="E11" s="29">
        <v>30239980</v>
      </c>
    </row>
    <row r="12" spans="2:12" x14ac:dyDescent="0.25">
      <c r="B12" s="32" t="s">
        <v>4</v>
      </c>
      <c r="E12" s="29">
        <v>781792</v>
      </c>
    </row>
    <row r="13" spans="2:12" x14ac:dyDescent="0.25">
      <c r="B13" s="32" t="s">
        <v>5</v>
      </c>
      <c r="E13" s="29">
        <v>0</v>
      </c>
    </row>
    <row r="14" spans="2:12" x14ac:dyDescent="0.25">
      <c r="B14" s="32" t="s">
        <v>6</v>
      </c>
      <c r="E14" s="29">
        <v>0</v>
      </c>
    </row>
    <row r="15" spans="2:12" ht="16.5" thickBot="1" x14ac:dyDescent="0.3">
      <c r="B15" s="32" t="s">
        <v>7</v>
      </c>
      <c r="E15" s="29">
        <v>0</v>
      </c>
      <c r="F15" s="1" t="s">
        <v>456</v>
      </c>
    </row>
    <row r="16" spans="2:12" x14ac:dyDescent="0.25">
      <c r="B16" s="10" t="s">
        <v>8</v>
      </c>
      <c r="C16" s="10"/>
      <c r="D16" s="10"/>
      <c r="E16" s="26">
        <f>E11+E12+E13+E14+E15</f>
        <v>31021772</v>
      </c>
      <c r="F16" s="25"/>
      <c r="G16" s="25"/>
      <c r="H16" s="25"/>
      <c r="I16" s="25"/>
    </row>
    <row r="17" spans="2:12" x14ac:dyDescent="0.25">
      <c r="B17" s="10" t="s">
        <v>340</v>
      </c>
      <c r="C17" s="10"/>
      <c r="D17" s="10"/>
      <c r="E17" s="77">
        <f>(E16/E11)-1</f>
        <v>2.5852927151406746E-2</v>
      </c>
    </row>
    <row r="21" spans="2:12" ht="23.25" x14ac:dyDescent="0.35">
      <c r="B21" s="46" t="s">
        <v>342</v>
      </c>
      <c r="C21" s="53"/>
      <c r="D21" s="53"/>
      <c r="E21" s="53"/>
      <c r="F21" s="54"/>
      <c r="G21" s="54"/>
      <c r="H21" s="54"/>
      <c r="I21" s="54"/>
      <c r="J21" s="54"/>
      <c r="K21" s="53"/>
      <c r="L21" s="53"/>
    </row>
    <row r="23" spans="2:12" x14ac:dyDescent="0.25">
      <c r="B23" s="10" t="s">
        <v>343</v>
      </c>
      <c r="G23" s="10" t="s">
        <v>353</v>
      </c>
    </row>
    <row r="24" spans="2:12" x14ac:dyDescent="0.25">
      <c r="B24" s="1" t="s">
        <v>345</v>
      </c>
      <c r="E24" s="29">
        <v>45500000</v>
      </c>
      <c r="G24" s="1" t="s">
        <v>106</v>
      </c>
      <c r="J24" s="29">
        <v>7912858</v>
      </c>
    </row>
    <row r="25" spans="2:12" ht="16.5" thickBot="1" x14ac:dyDescent="0.3">
      <c r="B25" s="1" t="s">
        <v>346</v>
      </c>
      <c r="E25" s="29">
        <v>0</v>
      </c>
      <c r="G25" s="1" t="s">
        <v>107</v>
      </c>
      <c r="J25" s="29">
        <v>553000</v>
      </c>
    </row>
    <row r="26" spans="2:12" x14ac:dyDescent="0.25">
      <c r="B26" s="1" t="s">
        <v>347</v>
      </c>
      <c r="E26" s="29">
        <v>0</v>
      </c>
      <c r="G26" s="10" t="s">
        <v>351</v>
      </c>
      <c r="J26" s="26">
        <f>SUM(J24:J25)</f>
        <v>8465858</v>
      </c>
    </row>
    <row r="27" spans="2:12" ht="16.5" thickBot="1" x14ac:dyDescent="0.3">
      <c r="B27" s="1" t="s">
        <v>348</v>
      </c>
      <c r="E27" s="29">
        <v>0</v>
      </c>
      <c r="G27" s="10"/>
      <c r="J27" s="27"/>
    </row>
    <row r="28" spans="2:12" ht="16.5" thickBot="1" x14ac:dyDescent="0.3">
      <c r="B28" s="1" t="s">
        <v>349</v>
      </c>
      <c r="E28" s="29">
        <v>0</v>
      </c>
      <c r="G28" s="10" t="s">
        <v>180</v>
      </c>
      <c r="J28" s="26">
        <f>E29-J26</f>
        <v>37034142</v>
      </c>
    </row>
    <row r="29" spans="2:12" x14ac:dyDescent="0.25">
      <c r="B29" s="10" t="s">
        <v>350</v>
      </c>
      <c r="E29" s="26">
        <f>SUM(E24:E28)</f>
        <v>45500000</v>
      </c>
    </row>
    <row r="32" spans="2:12" ht="23.25" x14ac:dyDescent="0.35">
      <c r="B32" s="46" t="s">
        <v>453</v>
      </c>
      <c r="C32" s="53"/>
      <c r="D32" s="53"/>
      <c r="E32" s="53"/>
      <c r="F32" s="54"/>
      <c r="G32" s="54"/>
      <c r="H32" s="54"/>
      <c r="I32" s="54"/>
      <c r="J32" s="54"/>
      <c r="K32" s="53"/>
      <c r="L32" s="53"/>
    </row>
    <row r="34" spans="2:10" x14ac:dyDescent="0.25">
      <c r="B34" s="1" t="s">
        <v>454</v>
      </c>
      <c r="E34" s="29">
        <f>J8</f>
        <v>163794956.16</v>
      </c>
      <c r="G34" s="1" t="s">
        <v>453</v>
      </c>
      <c r="J34" s="29">
        <f>E34+SUM(E36:E38)-SUM(E40:E41)</f>
        <v>200829098.16</v>
      </c>
    </row>
    <row r="35" spans="2:10" x14ac:dyDescent="0.25">
      <c r="E35" s="24"/>
    </row>
    <row r="36" spans="2:10" x14ac:dyDescent="0.25">
      <c r="B36" s="1" t="s">
        <v>350</v>
      </c>
      <c r="E36" s="29">
        <f>E29</f>
        <v>45500000</v>
      </c>
    </row>
    <row r="37" spans="2:10" x14ac:dyDescent="0.25">
      <c r="B37" s="1" t="s">
        <v>198</v>
      </c>
      <c r="E37" s="29">
        <v>0</v>
      </c>
    </row>
    <row r="38" spans="2:10" x14ac:dyDescent="0.25">
      <c r="B38" s="1" t="s">
        <v>455</v>
      </c>
      <c r="E38" s="29">
        <v>0</v>
      </c>
    </row>
    <row r="40" spans="2:10" x14ac:dyDescent="0.25">
      <c r="B40" s="1" t="s">
        <v>351</v>
      </c>
      <c r="E40" s="29">
        <f>J26</f>
        <v>8465858</v>
      </c>
    </row>
    <row r="41" spans="2:10" x14ac:dyDescent="0.25">
      <c r="B41" s="1" t="s">
        <v>116</v>
      </c>
      <c r="E41" s="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D628-FEC0-4AE4-9084-85D329213017}">
  <dimension ref="B2:L53"/>
  <sheetViews>
    <sheetView showGridLines="0" topLeftCell="A17" zoomScaleNormal="100" workbookViewId="0">
      <selection activeCell="L23" sqref="L23"/>
    </sheetView>
  </sheetViews>
  <sheetFormatPr defaultColWidth="9" defaultRowHeight="15.75" x14ac:dyDescent="0.25"/>
  <cols>
    <col min="1" max="3" width="9" style="1"/>
    <col min="4" max="4" width="13.875" style="1" customWidth="1"/>
    <col min="5" max="5" width="14.875" style="1" customWidth="1"/>
    <col min="6" max="10" width="12.625" style="1" customWidth="1"/>
    <col min="11" max="16384" width="9" style="1"/>
  </cols>
  <sheetData>
    <row r="2" spans="2:12" ht="27.75" x14ac:dyDescent="0.4">
      <c r="B2" s="45" t="s">
        <v>354</v>
      </c>
      <c r="C2" s="53"/>
      <c r="D2" s="53"/>
      <c r="E2" s="53"/>
      <c r="F2" s="54"/>
      <c r="G2" s="54"/>
      <c r="H2" s="54"/>
      <c r="I2" s="54"/>
      <c r="J2" s="54"/>
      <c r="K2" s="53"/>
      <c r="L2" s="53"/>
    </row>
    <row r="5" spans="2:12" ht="23.25" x14ac:dyDescent="0.35">
      <c r="B5" s="46" t="s">
        <v>355</v>
      </c>
      <c r="C5" s="53"/>
      <c r="D5" s="53"/>
      <c r="E5" s="53"/>
      <c r="F5" s="54"/>
      <c r="G5" s="54"/>
      <c r="H5" s="54"/>
      <c r="I5" s="54"/>
      <c r="J5" s="54"/>
      <c r="K5" s="53"/>
      <c r="L5" s="53"/>
    </row>
    <row r="7" spans="2:12" ht="16.5" thickBot="1" x14ac:dyDescent="0.3">
      <c r="F7" s="31">
        <v>2021</v>
      </c>
      <c r="G7" s="31">
        <v>2022</v>
      </c>
      <c r="H7" s="31">
        <v>2023</v>
      </c>
      <c r="I7" s="31">
        <v>2024</v>
      </c>
      <c r="J7" s="31">
        <v>2025</v>
      </c>
    </row>
    <row r="9" spans="2:12" x14ac:dyDescent="0.25">
      <c r="B9" s="10" t="s">
        <v>356</v>
      </c>
    </row>
    <row r="11" spans="2:12" x14ac:dyDescent="0.25">
      <c r="B11" s="32" t="s">
        <v>345</v>
      </c>
      <c r="F11" s="29">
        <v>0</v>
      </c>
      <c r="G11" s="29">
        <v>0</v>
      </c>
      <c r="H11" s="29">
        <v>0</v>
      </c>
      <c r="I11" s="29">
        <v>0</v>
      </c>
      <c r="J11" s="29">
        <v>50500000</v>
      </c>
    </row>
    <row r="12" spans="2:12" x14ac:dyDescent="0.25">
      <c r="B12" s="32" t="s">
        <v>357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</row>
    <row r="13" spans="2:12" x14ac:dyDescent="0.25">
      <c r="B13" s="32" t="s">
        <v>347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</row>
    <row r="14" spans="2:12" x14ac:dyDescent="0.25">
      <c r="B14" s="32" t="s">
        <v>348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</row>
    <row r="15" spans="2:12" x14ac:dyDescent="0.25">
      <c r="B15" s="32" t="s">
        <v>358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</row>
    <row r="16" spans="2:12" ht="16.5" thickBot="1" x14ac:dyDescent="0.3">
      <c r="B16" s="32" t="s">
        <v>349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</row>
    <row r="17" spans="2:12" x14ac:dyDescent="0.25">
      <c r="B17" s="10" t="s">
        <v>350</v>
      </c>
      <c r="F17" s="26">
        <f>SUM(F11:F16)</f>
        <v>0</v>
      </c>
      <c r="G17" s="26">
        <f t="shared" ref="G17:J17" si="0">SUM(G11:G16)</f>
        <v>0</v>
      </c>
      <c r="H17" s="26">
        <f t="shared" si="0"/>
        <v>0</v>
      </c>
      <c r="I17" s="26">
        <f t="shared" si="0"/>
        <v>0</v>
      </c>
      <c r="J17" s="26">
        <f t="shared" si="0"/>
        <v>50500000</v>
      </c>
    </row>
    <row r="19" spans="2:12" x14ac:dyDescent="0.25">
      <c r="B19" s="10" t="s">
        <v>368</v>
      </c>
    </row>
    <row r="21" spans="2:12" x14ac:dyDescent="0.25">
      <c r="B21" s="1" t="s">
        <v>350</v>
      </c>
      <c r="F21" s="29">
        <f>F17</f>
        <v>0</v>
      </c>
      <c r="G21" s="29">
        <f t="shared" ref="G21:J21" si="1">G17</f>
        <v>0</v>
      </c>
      <c r="H21" s="29">
        <f t="shared" si="1"/>
        <v>0</v>
      </c>
      <c r="I21" s="29">
        <f t="shared" si="1"/>
        <v>0</v>
      </c>
      <c r="J21" s="29">
        <f t="shared" si="1"/>
        <v>50500000</v>
      </c>
    </row>
    <row r="22" spans="2:12" x14ac:dyDescent="0.25">
      <c r="B22" s="1" t="s">
        <v>106</v>
      </c>
      <c r="F22" s="29">
        <f>'Historical Financials'!F149</f>
        <v>26497305</v>
      </c>
      <c r="G22" s="29">
        <f>'Historical Financials'!G149</f>
        <v>45236584</v>
      </c>
      <c r="H22" s="29">
        <f>'Historical Financials'!H149</f>
        <v>13403628</v>
      </c>
      <c r="I22" s="29">
        <f>'Historical Financials'!I149</f>
        <v>6519793</v>
      </c>
      <c r="J22" s="29">
        <f>'Historical Financials'!J149</f>
        <v>8959954</v>
      </c>
    </row>
    <row r="23" spans="2:12" x14ac:dyDescent="0.25">
      <c r="B23" s="1" t="s">
        <v>180</v>
      </c>
      <c r="F23" s="29">
        <f>F21-F22</f>
        <v>-26497305</v>
      </c>
      <c r="G23" s="29">
        <f t="shared" ref="G23:J23" si="2">G21-G22</f>
        <v>-45236584</v>
      </c>
      <c r="H23" s="29">
        <f t="shared" si="2"/>
        <v>-13403628</v>
      </c>
      <c r="I23" s="29">
        <f t="shared" si="2"/>
        <v>-6519793</v>
      </c>
      <c r="J23" s="29">
        <f t="shared" si="2"/>
        <v>41540046</v>
      </c>
    </row>
    <row r="24" spans="2:12" x14ac:dyDescent="0.25">
      <c r="B24" s="1" t="s">
        <v>33</v>
      </c>
      <c r="F24" s="29">
        <f>'Historical Financials'!F35</f>
        <v>26947792</v>
      </c>
      <c r="G24" s="29">
        <f>'Historical Financials'!G35</f>
        <v>53199877</v>
      </c>
      <c r="H24" s="29">
        <f>'Historical Financials'!H35</f>
        <v>14553281</v>
      </c>
      <c r="I24" s="29">
        <f>'Historical Financials'!I35</f>
        <v>15059631</v>
      </c>
      <c r="J24" s="29">
        <f>'Historical Financials'!J35</f>
        <v>27794043</v>
      </c>
    </row>
    <row r="25" spans="2:12" x14ac:dyDescent="0.25">
      <c r="F25" s="24"/>
      <c r="G25" s="24"/>
      <c r="H25" s="24"/>
      <c r="I25" s="24"/>
      <c r="J25" s="24"/>
    </row>
    <row r="26" spans="2:12" x14ac:dyDescent="0.25">
      <c r="B26" s="10" t="s">
        <v>359</v>
      </c>
      <c r="F26" s="24"/>
      <c r="G26" s="24"/>
      <c r="H26" s="24"/>
      <c r="I26" s="24"/>
      <c r="J26" s="24"/>
    </row>
    <row r="27" spans="2:12" x14ac:dyDescent="0.25">
      <c r="B27" s="10"/>
      <c r="F27" s="24"/>
      <c r="G27" s="24"/>
      <c r="H27" s="24"/>
      <c r="I27" s="24"/>
      <c r="J27" s="24"/>
    </row>
    <row r="28" spans="2:12" x14ac:dyDescent="0.25">
      <c r="B28" s="1" t="s">
        <v>360</v>
      </c>
      <c r="F28" s="82">
        <v>0</v>
      </c>
      <c r="G28" s="82">
        <f t="shared" ref="G28:J28" si="3">G21/G24</f>
        <v>0</v>
      </c>
      <c r="H28" s="82">
        <f t="shared" si="3"/>
        <v>0</v>
      </c>
      <c r="I28" s="82">
        <f t="shared" si="3"/>
        <v>0</v>
      </c>
      <c r="J28" s="82">
        <f t="shared" si="3"/>
        <v>1.8169360967024482</v>
      </c>
      <c r="L28" s="1" t="s">
        <v>364</v>
      </c>
    </row>
    <row r="29" spans="2:12" x14ac:dyDescent="0.25">
      <c r="B29" s="1" t="s">
        <v>361</v>
      </c>
      <c r="F29" s="82">
        <f>F23/F24</f>
        <v>-0.98328297175516277</v>
      </c>
      <c r="G29" s="82">
        <f t="shared" ref="G29:J29" si="4">G23/G24</f>
        <v>-0.85031369527414513</v>
      </c>
      <c r="H29" s="82">
        <f t="shared" si="4"/>
        <v>-0.92100386160344183</v>
      </c>
      <c r="I29" s="82">
        <f t="shared" si="4"/>
        <v>-0.43293178963017087</v>
      </c>
      <c r="J29" s="82">
        <f t="shared" si="4"/>
        <v>1.4945665155659433</v>
      </c>
      <c r="L29" s="1" t="s">
        <v>363</v>
      </c>
    </row>
    <row r="30" spans="2:12" x14ac:dyDescent="0.25">
      <c r="B30" s="1" t="s">
        <v>39</v>
      </c>
      <c r="F30" s="29">
        <f>ABS('Historical Financials'!F39)</f>
        <v>101382</v>
      </c>
      <c r="G30" s="29">
        <f>ABS('Historical Financials'!G39)</f>
        <v>50782</v>
      </c>
      <c r="H30" s="29">
        <f>ABS('Historical Financials'!H39)</f>
        <v>80379</v>
      </c>
      <c r="I30" s="29">
        <f>ABS('Historical Financials'!I39)</f>
        <v>46400</v>
      </c>
      <c r="J30" s="29">
        <f>ABS('Historical Financials'!J39)</f>
        <v>624160</v>
      </c>
      <c r="L30" s="1" t="s">
        <v>365</v>
      </c>
    </row>
    <row r="31" spans="2:12" x14ac:dyDescent="0.25">
      <c r="B31" s="1" t="s">
        <v>362</v>
      </c>
      <c r="F31" s="83">
        <f>F24/F30</f>
        <v>265.80450178532681</v>
      </c>
      <c r="G31" s="83">
        <f>G24/G30</f>
        <v>1047.6128746406207</v>
      </c>
      <c r="H31" s="83">
        <f>H24/H30</f>
        <v>181.05824904514861</v>
      </c>
      <c r="I31" s="83">
        <f>I24/I30</f>
        <v>324.5610129310345</v>
      </c>
      <c r="J31" s="83">
        <f>J24/J30</f>
        <v>44.530317546782875</v>
      </c>
      <c r="L31" s="1" t="s">
        <v>366</v>
      </c>
    </row>
    <row r="34" spans="2:12" ht="23.25" x14ac:dyDescent="0.35">
      <c r="B34" s="46" t="s">
        <v>369</v>
      </c>
      <c r="C34" s="53"/>
      <c r="D34" s="53"/>
      <c r="E34" s="53"/>
      <c r="F34" s="54"/>
      <c r="G34" s="54"/>
      <c r="H34" s="54"/>
      <c r="I34" s="54"/>
      <c r="J34" s="54"/>
      <c r="K34" s="53"/>
      <c r="L34" s="53"/>
    </row>
    <row r="37" spans="2:12" x14ac:dyDescent="0.25">
      <c r="B37" s="10" t="s">
        <v>370</v>
      </c>
    </row>
    <row r="38" spans="2:12" x14ac:dyDescent="0.25">
      <c r="E38" s="1" t="s">
        <v>377</v>
      </c>
      <c r="F38" s="1" t="s">
        <v>378</v>
      </c>
      <c r="G38" s="1" t="s">
        <v>367</v>
      </c>
    </row>
    <row r="39" spans="2:12" x14ac:dyDescent="0.25">
      <c r="B39" s="32" t="s">
        <v>345</v>
      </c>
    </row>
    <row r="40" spans="2:12" x14ac:dyDescent="0.25">
      <c r="B40" s="32" t="s">
        <v>371</v>
      </c>
    </row>
    <row r="41" spans="2:12" x14ac:dyDescent="0.25">
      <c r="B41" s="32" t="s">
        <v>372</v>
      </c>
    </row>
    <row r="42" spans="2:12" x14ac:dyDescent="0.25">
      <c r="B42" s="32" t="s">
        <v>373</v>
      </c>
    </row>
    <row r="43" spans="2:12" x14ac:dyDescent="0.25">
      <c r="B43" s="32" t="s">
        <v>374</v>
      </c>
    </row>
    <row r="44" spans="2:12" x14ac:dyDescent="0.25">
      <c r="B44" s="32" t="s">
        <v>375</v>
      </c>
    </row>
    <row r="45" spans="2:12" x14ac:dyDescent="0.25">
      <c r="B45" s="32" t="s">
        <v>376</v>
      </c>
      <c r="C45" s="10"/>
      <c r="E45" s="10"/>
    </row>
    <row r="46" spans="2:12" x14ac:dyDescent="0.25">
      <c r="B46" s="32" t="s">
        <v>358</v>
      </c>
    </row>
    <row r="47" spans="2:12" x14ac:dyDescent="0.25">
      <c r="B47" s="10" t="s">
        <v>350</v>
      </c>
    </row>
    <row r="49" spans="3:5" x14ac:dyDescent="0.25">
      <c r="C49" s="15"/>
      <c r="E49" s="15"/>
    </row>
    <row r="50" spans="3:5" x14ac:dyDescent="0.25">
      <c r="C50" s="15"/>
      <c r="E50" s="15"/>
    </row>
    <row r="51" spans="3:5" x14ac:dyDescent="0.25">
      <c r="C51" s="15"/>
      <c r="E51" s="15"/>
    </row>
    <row r="53" spans="3:5" x14ac:dyDescent="0.25">
      <c r="C53" s="84"/>
      <c r="E53" s="8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37746-5AF6-7242-AFE1-23344A41DA79}">
  <dimension ref="B2:P215"/>
  <sheetViews>
    <sheetView showGridLines="0" zoomScale="110" zoomScaleNormal="110" workbookViewId="0">
      <selection activeCell="F177" sqref="F177"/>
    </sheetView>
  </sheetViews>
  <sheetFormatPr defaultColWidth="10.875" defaultRowHeight="15.75" x14ac:dyDescent="0.25"/>
  <cols>
    <col min="1" max="8" width="10.875" style="1"/>
    <col min="9" max="9" width="11.625" style="1" bestFit="1" customWidth="1"/>
    <col min="10" max="10" width="10.875" style="1"/>
    <col min="11" max="11" width="13.625" style="1" bestFit="1" customWidth="1"/>
    <col min="12" max="12" width="10.875" style="1"/>
    <col min="13" max="15" width="12" style="1" bestFit="1" customWidth="1"/>
    <col min="16" max="16384" width="10.875" style="1"/>
  </cols>
  <sheetData>
    <row r="2" spans="2:16" ht="27.75" x14ac:dyDescent="0.4">
      <c r="B2" s="45" t="s">
        <v>186</v>
      </c>
      <c r="C2" s="53"/>
      <c r="D2" s="53"/>
      <c r="E2" s="53"/>
      <c r="F2" s="54"/>
      <c r="G2" s="54"/>
      <c r="H2" s="54"/>
      <c r="I2" s="54"/>
      <c r="J2" s="54"/>
      <c r="K2" s="53"/>
      <c r="L2" s="53"/>
      <c r="M2" s="53"/>
      <c r="N2" s="53"/>
      <c r="O2" s="53"/>
      <c r="P2" s="53"/>
    </row>
    <row r="4" spans="2:16" x14ac:dyDescent="0.25">
      <c r="B4" s="1" t="s">
        <v>390</v>
      </c>
      <c r="C4" s="117">
        <v>2</v>
      </c>
      <c r="E4" s="95"/>
      <c r="F4" s="95"/>
      <c r="G4" s="95"/>
      <c r="H4" s="95"/>
      <c r="I4" s="95"/>
    </row>
    <row r="5" spans="2:16" ht="16.5" thickBot="1" x14ac:dyDescent="0.3">
      <c r="E5" s="94">
        <v>2026</v>
      </c>
      <c r="F5" s="94">
        <f t="shared" ref="F5:I5" si="0">E5+1</f>
        <v>2027</v>
      </c>
      <c r="G5" s="94">
        <f t="shared" si="0"/>
        <v>2028</v>
      </c>
      <c r="H5" s="94">
        <f t="shared" si="0"/>
        <v>2029</v>
      </c>
      <c r="I5" s="94">
        <f t="shared" si="0"/>
        <v>2030</v>
      </c>
    </row>
    <row r="6" spans="2:16" x14ac:dyDescent="0.25">
      <c r="E6" s="96"/>
      <c r="F6" s="96"/>
      <c r="G6" s="96"/>
      <c r="H6" s="96"/>
      <c r="I6" s="96"/>
    </row>
    <row r="7" spans="2:16" x14ac:dyDescent="0.25">
      <c r="B7" s="1" t="s">
        <v>394</v>
      </c>
      <c r="E7" s="96"/>
      <c r="F7" s="96"/>
      <c r="G7" s="96"/>
      <c r="H7" s="96"/>
      <c r="I7" s="96"/>
    </row>
    <row r="8" spans="2:16" x14ac:dyDescent="0.25">
      <c r="B8" s="1" t="s">
        <v>392</v>
      </c>
      <c r="E8" s="86">
        <v>-0.05</v>
      </c>
      <c r="F8" s="86">
        <v>-0.05</v>
      </c>
      <c r="G8" s="86">
        <v>-0.05</v>
      </c>
      <c r="H8" s="86">
        <v>-0.05</v>
      </c>
      <c r="I8" s="86">
        <v>-0.05</v>
      </c>
    </row>
    <row r="9" spans="2:16" x14ac:dyDescent="0.25">
      <c r="B9" s="1" t="s">
        <v>391</v>
      </c>
      <c r="E9" s="86">
        <v>0.05</v>
      </c>
      <c r="F9" s="86">
        <f>E9-0.01</f>
        <v>0.04</v>
      </c>
      <c r="G9" s="86">
        <f t="shared" ref="G9:I9" si="1">F9-0.01</f>
        <v>0.03</v>
      </c>
      <c r="H9" s="86">
        <f t="shared" si="1"/>
        <v>1.9999999999999997E-2</v>
      </c>
      <c r="I9" s="86">
        <f t="shared" si="1"/>
        <v>9.9999999999999967E-3</v>
      </c>
    </row>
    <row r="10" spans="2:16" x14ac:dyDescent="0.25">
      <c r="B10" s="1" t="s">
        <v>393</v>
      </c>
      <c r="E10" s="86">
        <v>0.1</v>
      </c>
      <c r="F10" s="86">
        <v>0.1</v>
      </c>
      <c r="G10" s="86">
        <v>0.1</v>
      </c>
      <c r="H10" s="86">
        <v>0.1</v>
      </c>
      <c r="I10" s="86">
        <v>0.1</v>
      </c>
    </row>
    <row r="11" spans="2:16" x14ac:dyDescent="0.25">
      <c r="E11" s="86"/>
      <c r="F11" s="86"/>
      <c r="G11" s="86"/>
      <c r="H11" s="86"/>
      <c r="I11" s="86"/>
    </row>
    <row r="12" spans="2:16" x14ac:dyDescent="0.25">
      <c r="B12" s="1" t="s">
        <v>395</v>
      </c>
      <c r="E12" s="86"/>
      <c r="F12" s="86"/>
      <c r="G12" s="86"/>
      <c r="H12" s="86"/>
      <c r="I12" s="86"/>
    </row>
    <row r="13" spans="2:16" x14ac:dyDescent="0.25">
      <c r="B13" s="1" t="s">
        <v>392</v>
      </c>
      <c r="E13" s="86">
        <v>-0.05</v>
      </c>
      <c r="F13" s="86">
        <v>-0.05</v>
      </c>
      <c r="G13" s="86">
        <v>-0.05</v>
      </c>
      <c r="H13" s="86">
        <v>-0.05</v>
      </c>
      <c r="I13" s="86">
        <v>-0.05</v>
      </c>
    </row>
    <row r="14" spans="2:16" x14ac:dyDescent="0.25">
      <c r="B14" s="1" t="s">
        <v>391</v>
      </c>
      <c r="E14" s="86">
        <v>0.05</v>
      </c>
      <c r="F14" s="86">
        <f>E14-0.01</f>
        <v>0.04</v>
      </c>
      <c r="G14" s="86">
        <f t="shared" ref="G14:I14" si="2">F14-0.01</f>
        <v>0.03</v>
      </c>
      <c r="H14" s="86">
        <f t="shared" si="2"/>
        <v>1.9999999999999997E-2</v>
      </c>
      <c r="I14" s="86">
        <f t="shared" si="2"/>
        <v>9.9999999999999967E-3</v>
      </c>
    </row>
    <row r="15" spans="2:16" x14ac:dyDescent="0.25">
      <c r="B15" s="1" t="s">
        <v>393</v>
      </c>
      <c r="E15" s="86">
        <v>0.1</v>
      </c>
      <c r="F15" s="86">
        <v>0.1</v>
      </c>
      <c r="G15" s="86">
        <v>0.1</v>
      </c>
      <c r="H15" s="86">
        <v>0.1</v>
      </c>
      <c r="I15" s="86">
        <v>0.1</v>
      </c>
    </row>
    <row r="16" spans="2:16" x14ac:dyDescent="0.25">
      <c r="E16" s="86"/>
      <c r="F16" s="86"/>
      <c r="G16" s="86"/>
      <c r="H16" s="86"/>
      <c r="I16" s="86"/>
    </row>
    <row r="17" spans="2:9" x14ac:dyDescent="0.25">
      <c r="B17" s="1" t="s">
        <v>396</v>
      </c>
      <c r="E17" s="86"/>
      <c r="F17" s="86"/>
      <c r="G17" s="86"/>
      <c r="H17" s="86"/>
      <c r="I17" s="86"/>
    </row>
    <row r="18" spans="2:9" x14ac:dyDescent="0.25">
      <c r="B18" s="1" t="s">
        <v>392</v>
      </c>
      <c r="E18" s="86">
        <v>-0.05</v>
      </c>
      <c r="F18" s="86">
        <v>-0.05</v>
      </c>
      <c r="G18" s="86">
        <v>-0.05</v>
      </c>
      <c r="H18" s="86">
        <v>-0.05</v>
      </c>
      <c r="I18" s="86">
        <v>-0.05</v>
      </c>
    </row>
    <row r="19" spans="2:9" x14ac:dyDescent="0.25">
      <c r="B19" s="1" t="s">
        <v>391</v>
      </c>
      <c r="E19" s="86">
        <v>0.05</v>
      </c>
      <c r="F19" s="86">
        <f>E19-0.01</f>
        <v>0.04</v>
      </c>
      <c r="G19" s="86">
        <f t="shared" ref="G19:I19" si="3">F19-0.01</f>
        <v>0.03</v>
      </c>
      <c r="H19" s="86">
        <f t="shared" si="3"/>
        <v>1.9999999999999997E-2</v>
      </c>
      <c r="I19" s="86">
        <f t="shared" si="3"/>
        <v>9.9999999999999967E-3</v>
      </c>
    </row>
    <row r="20" spans="2:9" x14ac:dyDescent="0.25">
      <c r="B20" s="1" t="s">
        <v>393</v>
      </c>
      <c r="E20" s="86">
        <v>0.1</v>
      </c>
      <c r="F20" s="86">
        <v>0.1</v>
      </c>
      <c r="G20" s="86">
        <v>0.1</v>
      </c>
      <c r="H20" s="86">
        <v>0.1</v>
      </c>
      <c r="I20" s="86">
        <v>0.1</v>
      </c>
    </row>
    <row r="22" spans="2:9" x14ac:dyDescent="0.25">
      <c r="B22" s="1" t="s">
        <v>397</v>
      </c>
    </row>
    <row r="23" spans="2:9" x14ac:dyDescent="0.25">
      <c r="B23" s="1" t="s">
        <v>392</v>
      </c>
      <c r="E23" s="68">
        <v>2.5</v>
      </c>
      <c r="F23" s="68">
        <v>2.5</v>
      </c>
      <c r="G23" s="68">
        <v>2.5</v>
      </c>
      <c r="H23" s="68">
        <v>2.5</v>
      </c>
      <c r="I23" s="68">
        <v>2.5</v>
      </c>
    </row>
    <row r="24" spans="2:9" x14ac:dyDescent="0.25">
      <c r="B24" s="1" t="s">
        <v>391</v>
      </c>
      <c r="E24" s="68">
        <v>3.5</v>
      </c>
      <c r="F24" s="68">
        <v>3.5</v>
      </c>
      <c r="G24" s="68">
        <v>3.5</v>
      </c>
      <c r="H24" s="68">
        <v>3.5</v>
      </c>
      <c r="I24" s="68">
        <v>3.5</v>
      </c>
    </row>
    <row r="25" spans="2:9" x14ac:dyDescent="0.25">
      <c r="B25" s="1" t="s">
        <v>393</v>
      </c>
      <c r="E25" s="68">
        <v>5</v>
      </c>
      <c r="F25" s="68">
        <v>5</v>
      </c>
      <c r="G25" s="68">
        <v>5</v>
      </c>
      <c r="H25" s="68">
        <v>5</v>
      </c>
      <c r="I25" s="68">
        <v>5</v>
      </c>
    </row>
    <row r="27" spans="2:9" x14ac:dyDescent="0.25">
      <c r="B27" s="1" t="s">
        <v>398</v>
      </c>
    </row>
    <row r="28" spans="2:9" x14ac:dyDescent="0.25">
      <c r="B28" s="1" t="s">
        <v>392</v>
      </c>
      <c r="E28" s="68">
        <v>55</v>
      </c>
      <c r="F28" s="68">
        <v>55</v>
      </c>
      <c r="G28" s="68">
        <v>55</v>
      </c>
      <c r="H28" s="68">
        <v>55</v>
      </c>
      <c r="I28" s="68">
        <v>55</v>
      </c>
    </row>
    <row r="29" spans="2:9" x14ac:dyDescent="0.25">
      <c r="B29" s="1" t="s">
        <v>391</v>
      </c>
      <c r="E29" s="68">
        <v>70</v>
      </c>
      <c r="F29" s="68">
        <v>70</v>
      </c>
      <c r="G29" s="68">
        <v>70</v>
      </c>
      <c r="H29" s="68">
        <v>70</v>
      </c>
      <c r="I29" s="68">
        <v>70</v>
      </c>
    </row>
    <row r="30" spans="2:9" x14ac:dyDescent="0.25">
      <c r="B30" s="1" t="s">
        <v>393</v>
      </c>
      <c r="E30" s="68">
        <v>85</v>
      </c>
      <c r="F30" s="68">
        <v>85</v>
      </c>
      <c r="G30" s="68">
        <v>85</v>
      </c>
      <c r="H30" s="68">
        <v>85</v>
      </c>
      <c r="I30" s="68">
        <v>85</v>
      </c>
    </row>
    <row r="32" spans="2:9" x14ac:dyDescent="0.25">
      <c r="B32" s="1" t="s">
        <v>399</v>
      </c>
    </row>
    <row r="33" spans="2:16" x14ac:dyDescent="0.25">
      <c r="B33" s="1" t="s">
        <v>392</v>
      </c>
      <c r="E33" s="68">
        <v>18</v>
      </c>
      <c r="F33" s="68">
        <v>18</v>
      </c>
      <c r="G33" s="68">
        <v>18</v>
      </c>
      <c r="H33" s="68">
        <v>18</v>
      </c>
      <c r="I33" s="68">
        <v>18</v>
      </c>
    </row>
    <row r="34" spans="2:16" x14ac:dyDescent="0.25">
      <c r="B34" s="1" t="s">
        <v>391</v>
      </c>
      <c r="E34" s="68">
        <v>25</v>
      </c>
      <c r="F34" s="68">
        <v>25</v>
      </c>
      <c r="G34" s="68">
        <v>25</v>
      </c>
      <c r="H34" s="68">
        <v>25</v>
      </c>
      <c r="I34" s="68">
        <v>25</v>
      </c>
    </row>
    <row r="35" spans="2:16" x14ac:dyDescent="0.25">
      <c r="B35" s="1" t="s">
        <v>393</v>
      </c>
      <c r="E35" s="68">
        <v>35</v>
      </c>
      <c r="F35" s="68">
        <v>35</v>
      </c>
      <c r="G35" s="68">
        <v>35</v>
      </c>
      <c r="H35" s="68">
        <v>35</v>
      </c>
      <c r="I35" s="68">
        <v>35</v>
      </c>
    </row>
    <row r="37" spans="2:16" x14ac:dyDescent="0.25">
      <c r="B37" s="10" t="s">
        <v>400</v>
      </c>
    </row>
    <row r="39" spans="2:16" x14ac:dyDescent="0.25">
      <c r="B39" s="1" t="s">
        <v>401</v>
      </c>
      <c r="E39" s="111" cm="1">
        <f t="array" ref="E39">INDEX(E8:E10,$C$4)</f>
        <v>0.05</v>
      </c>
      <c r="F39" s="112" cm="1">
        <f t="array" ref="F39">INDEX(F8:F10,$C$4)</f>
        <v>0.04</v>
      </c>
      <c r="G39" s="112" cm="1">
        <f t="array" ref="G39">INDEX(G8:G10,$C$4)</f>
        <v>0.03</v>
      </c>
      <c r="H39" s="112" cm="1">
        <f t="array" ref="H39">INDEX(H8:H10,$C$4)</f>
        <v>1.9999999999999997E-2</v>
      </c>
      <c r="I39" s="113" cm="1">
        <f t="array" ref="I39">INDEX(I8:I10,$C$4)</f>
        <v>9.9999999999999967E-3</v>
      </c>
    </row>
    <row r="40" spans="2:16" x14ac:dyDescent="0.25">
      <c r="B40" s="1" t="s">
        <v>248</v>
      </c>
      <c r="E40" s="114" cm="1">
        <f t="array" ref="E40">INDEX(E13:E15,$C$4)</f>
        <v>0.05</v>
      </c>
      <c r="F40" s="115" cm="1">
        <f t="array" ref="F40">INDEX(F13:F15,$C$4)</f>
        <v>0.04</v>
      </c>
      <c r="G40" s="115" cm="1">
        <f t="array" ref="G40">INDEX(G13:G15,$C$4)</f>
        <v>0.03</v>
      </c>
      <c r="H40" s="115" cm="1">
        <f t="array" ref="H40">INDEX(H13:H15,$C$4)</f>
        <v>1.9999999999999997E-2</v>
      </c>
      <c r="I40" s="116" cm="1">
        <f t="array" ref="I40">INDEX(I13:I15,$C$4)</f>
        <v>9.9999999999999967E-3</v>
      </c>
    </row>
    <row r="41" spans="2:16" x14ac:dyDescent="0.25">
      <c r="B41" s="1" t="s">
        <v>249</v>
      </c>
      <c r="E41" s="114" cm="1">
        <f t="array" ref="E41">INDEX(E18:E20,$C$4)</f>
        <v>0.05</v>
      </c>
      <c r="F41" s="115" cm="1">
        <f t="array" ref="F41">INDEX(F18:F20,$C$4)</f>
        <v>0.04</v>
      </c>
      <c r="G41" s="115" cm="1">
        <f t="array" ref="G41">INDEX(G18:G20,$C$4)</f>
        <v>0.03</v>
      </c>
      <c r="H41" s="115" cm="1">
        <f t="array" ref="H41">INDEX(H18:H20,$C$4)</f>
        <v>1.9999999999999997E-2</v>
      </c>
      <c r="I41" s="116" cm="1">
        <f t="array" ref="I41">INDEX(I18:I20,$C$4)</f>
        <v>9.9999999999999967E-3</v>
      </c>
    </row>
    <row r="42" spans="2:16" x14ac:dyDescent="0.25">
      <c r="B42" s="1" t="s">
        <v>402</v>
      </c>
      <c r="E42" s="106" cm="1">
        <f t="array" ref="E42">INDEX(E23:E25,$C$4)</f>
        <v>3.5</v>
      </c>
      <c r="F42" s="68" cm="1">
        <f t="array" ref="F42">INDEX(F23:F25,$C$4)</f>
        <v>3.5</v>
      </c>
      <c r="G42" s="68" cm="1">
        <f t="array" ref="G42">INDEX(G23:G25,$C$4)</f>
        <v>3.5</v>
      </c>
      <c r="H42" s="68" cm="1">
        <f t="array" ref="H42">INDEX(H23:H25,$C$4)</f>
        <v>3.5</v>
      </c>
      <c r="I42" s="107" cm="1">
        <f t="array" ref="I42">INDEX(I23:I25,$C$4)</f>
        <v>3.5</v>
      </c>
    </row>
    <row r="43" spans="2:16" x14ac:dyDescent="0.25">
      <c r="B43" s="1" t="s">
        <v>388</v>
      </c>
      <c r="E43" s="106" cm="1">
        <f t="array" ref="E43">INDEX(E28:E30,$C$4)</f>
        <v>70</v>
      </c>
      <c r="F43" s="68" cm="1">
        <f t="array" ref="F43">INDEX(F28:F30,$C$4)</f>
        <v>70</v>
      </c>
      <c r="G43" s="68" cm="1">
        <f t="array" ref="G43">INDEX(G28:G30,$C$4)</f>
        <v>70</v>
      </c>
      <c r="H43" s="68" cm="1">
        <f t="array" ref="H43">INDEX(H28:H30,$C$4)</f>
        <v>70</v>
      </c>
      <c r="I43" s="107" cm="1">
        <f t="array" ref="I43">INDEX(I28:I30,$C$4)</f>
        <v>70</v>
      </c>
    </row>
    <row r="44" spans="2:16" x14ac:dyDescent="0.25">
      <c r="B44" s="1" t="s">
        <v>389</v>
      </c>
      <c r="E44" s="108" cm="1">
        <f t="array" ref="E44">INDEX(E33:E35,$C$4)</f>
        <v>25</v>
      </c>
      <c r="F44" s="109" cm="1">
        <f t="array" ref="F44">INDEX(F33:F35,$C$4)</f>
        <v>25</v>
      </c>
      <c r="G44" s="109" cm="1">
        <f t="array" ref="G44">INDEX(G33:G35,$C$4)</f>
        <v>25</v>
      </c>
      <c r="H44" s="109" cm="1">
        <f t="array" ref="H44">INDEX(H33:H35,$C$4)</f>
        <v>25</v>
      </c>
      <c r="I44" s="110" cm="1">
        <f t="array" ref="I44">INDEX(I33:I35,$C$4)</f>
        <v>25</v>
      </c>
    </row>
    <row r="47" spans="2:16" ht="23.25" x14ac:dyDescent="0.35">
      <c r="B47" s="46" t="s">
        <v>385</v>
      </c>
      <c r="C47" s="53"/>
      <c r="D47" s="53"/>
      <c r="E47" s="53"/>
      <c r="F47" s="54"/>
      <c r="G47" s="54"/>
      <c r="H47" s="54"/>
      <c r="I47" s="54"/>
      <c r="J47" s="54"/>
      <c r="K47" s="53"/>
      <c r="L47" s="53"/>
      <c r="M47" s="53"/>
      <c r="N47" s="53"/>
      <c r="O47" s="53"/>
      <c r="P47" s="53"/>
    </row>
    <row r="49" spans="2:15" ht="16.5" thickBot="1" x14ac:dyDescent="0.3">
      <c r="F49" s="85">
        <v>2021</v>
      </c>
      <c r="G49" s="85">
        <f>F49+1</f>
        <v>2022</v>
      </c>
      <c r="H49" s="85">
        <f t="shared" ref="H49:O49" si="4">G49+1</f>
        <v>2023</v>
      </c>
      <c r="I49" s="85">
        <f t="shared" si="4"/>
        <v>2024</v>
      </c>
      <c r="J49" s="85">
        <f t="shared" si="4"/>
        <v>2025</v>
      </c>
      <c r="K49" s="94">
        <f t="shared" si="4"/>
        <v>2026</v>
      </c>
      <c r="L49" s="94">
        <f t="shared" si="4"/>
        <v>2027</v>
      </c>
      <c r="M49" s="94">
        <f t="shared" si="4"/>
        <v>2028</v>
      </c>
      <c r="N49" s="94">
        <f t="shared" si="4"/>
        <v>2029</v>
      </c>
      <c r="O49" s="94">
        <f t="shared" si="4"/>
        <v>2030</v>
      </c>
    </row>
    <row r="51" spans="2:15" x14ac:dyDescent="0.25">
      <c r="B51" s="10" t="s">
        <v>299</v>
      </c>
      <c r="D51" s="88" t="s">
        <v>383</v>
      </c>
      <c r="E51" s="89" t="s">
        <v>384</v>
      </c>
    </row>
    <row r="53" spans="2:15" x14ac:dyDescent="0.25">
      <c r="B53" s="1" t="s">
        <v>379</v>
      </c>
      <c r="F53" s="24">
        <f>'Production &amp; Reserves'!F17</f>
        <v>10233000</v>
      </c>
      <c r="G53" s="24">
        <f>'Production &amp; Reserves'!G17</f>
        <v>9503000</v>
      </c>
      <c r="H53" s="24">
        <f>'Production &amp; Reserves'!H17</f>
        <v>8340000</v>
      </c>
      <c r="I53" s="24">
        <f>'Production &amp; Reserves'!I17</f>
        <v>6142000</v>
      </c>
      <c r="J53" s="24">
        <f>'Production &amp; Reserves'!J17</f>
        <v>10001000</v>
      </c>
      <c r="K53" s="91">
        <f>J53*(1+K54)</f>
        <v>10501050</v>
      </c>
      <c r="L53" s="91">
        <f t="shared" ref="L53:O53" si="5">K53*(1+L54)</f>
        <v>10921092</v>
      </c>
      <c r="M53" s="91">
        <f t="shared" si="5"/>
        <v>11248724.76</v>
      </c>
      <c r="N53" s="91">
        <f t="shared" si="5"/>
        <v>11473699.2552</v>
      </c>
      <c r="O53" s="91">
        <f t="shared" si="5"/>
        <v>11588436.247752002</v>
      </c>
    </row>
    <row r="54" spans="2:15" x14ac:dyDescent="0.25">
      <c r="B54" s="1" t="s">
        <v>386</v>
      </c>
      <c r="G54" s="92">
        <f>(G53/F53)-1</f>
        <v>-7.1337828593765251E-2</v>
      </c>
      <c r="H54" s="92">
        <f t="shared" ref="H54:J54" si="6">(H53/G53)-1</f>
        <v>-0.12238240555614022</v>
      </c>
      <c r="I54" s="92">
        <f t="shared" si="6"/>
        <v>-0.26354916067146283</v>
      </c>
      <c r="J54" s="92">
        <f t="shared" si="6"/>
        <v>0.62829697167046561</v>
      </c>
      <c r="K54" s="90">
        <f>E39</f>
        <v>0.05</v>
      </c>
      <c r="L54" s="90">
        <f t="shared" ref="L54:O54" si="7">F39</f>
        <v>0.04</v>
      </c>
      <c r="M54" s="90">
        <f t="shared" si="7"/>
        <v>0.03</v>
      </c>
      <c r="N54" s="90">
        <f t="shared" si="7"/>
        <v>1.9999999999999997E-2</v>
      </c>
      <c r="O54" s="90">
        <f t="shared" si="7"/>
        <v>9.9999999999999967E-3</v>
      </c>
    </row>
    <row r="56" spans="2:15" x14ac:dyDescent="0.25">
      <c r="B56" s="1" t="s">
        <v>223</v>
      </c>
      <c r="F56" s="24">
        <f>'Production &amp; Reserves'!F21</f>
        <v>25000</v>
      </c>
      <c r="G56" s="24">
        <f>'Production &amp; Reserves'!G21</f>
        <v>32000</v>
      </c>
      <c r="H56" s="24">
        <f>'Production &amp; Reserves'!H21</f>
        <v>65000</v>
      </c>
      <c r="I56" s="24">
        <f>'Production &amp; Reserves'!I21</f>
        <v>187000</v>
      </c>
      <c r="J56" s="24">
        <f>'Production &amp; Reserves'!J21</f>
        <v>223000</v>
      </c>
      <c r="K56" s="24">
        <f>J56*(1+K57)</f>
        <v>234150</v>
      </c>
      <c r="L56" s="24">
        <f t="shared" ref="L56:O56" si="8">K56*(1+L57)</f>
        <v>243516</v>
      </c>
      <c r="M56" s="24">
        <f t="shared" si="8"/>
        <v>250821.48</v>
      </c>
      <c r="N56" s="24">
        <f t="shared" si="8"/>
        <v>255837.90960000001</v>
      </c>
      <c r="O56" s="24">
        <f t="shared" si="8"/>
        <v>258396.288696</v>
      </c>
    </row>
    <row r="57" spans="2:15" x14ac:dyDescent="0.25">
      <c r="B57" s="1" t="s">
        <v>380</v>
      </c>
      <c r="G57" s="92">
        <f>(G56/F56)-1</f>
        <v>0.28000000000000003</v>
      </c>
      <c r="H57" s="92">
        <f t="shared" ref="H57:J57" si="9">(H56/G56)-1</f>
        <v>1.03125</v>
      </c>
      <c r="I57" s="92">
        <f t="shared" si="9"/>
        <v>1.8769230769230769</v>
      </c>
      <c r="J57" s="92">
        <f t="shared" si="9"/>
        <v>0.19251336898395732</v>
      </c>
      <c r="K57" s="90">
        <f>E40</f>
        <v>0.05</v>
      </c>
      <c r="L57" s="90">
        <f t="shared" ref="L57:O57" si="10">F40</f>
        <v>0.04</v>
      </c>
      <c r="M57" s="90">
        <f t="shared" si="10"/>
        <v>0.03</v>
      </c>
      <c r="N57" s="90">
        <f t="shared" si="10"/>
        <v>1.9999999999999997E-2</v>
      </c>
      <c r="O57" s="90">
        <f t="shared" si="10"/>
        <v>9.9999999999999967E-3</v>
      </c>
    </row>
    <row r="58" spans="2:15" x14ac:dyDescent="0.25">
      <c r="K58" s="93"/>
    </row>
    <row r="59" spans="2:15" x14ac:dyDescent="0.25">
      <c r="B59" s="1" t="s">
        <v>381</v>
      </c>
      <c r="F59" s="24">
        <f>'Production &amp; Reserves'!F25</f>
        <v>29000</v>
      </c>
      <c r="G59" s="24">
        <f>'Production &amp; Reserves'!G25</f>
        <v>44000</v>
      </c>
      <c r="H59" s="24">
        <f>'Production &amp; Reserves'!H25</f>
        <v>39000</v>
      </c>
      <c r="I59" s="24">
        <f>'Production &amp; Reserves'!I25</f>
        <v>69000</v>
      </c>
      <c r="J59" s="24">
        <f>'Production &amp; Reserves'!J25</f>
        <v>81000</v>
      </c>
      <c r="K59" s="91">
        <f>J59*(1+K60)</f>
        <v>85050</v>
      </c>
      <c r="L59" s="91">
        <f t="shared" ref="L59:O59" si="11">K59*(1+L60)</f>
        <v>88452</v>
      </c>
      <c r="M59" s="91">
        <f t="shared" si="11"/>
        <v>91105.56</v>
      </c>
      <c r="N59" s="91">
        <f t="shared" si="11"/>
        <v>92927.671199999997</v>
      </c>
      <c r="O59" s="91">
        <f t="shared" si="11"/>
        <v>93856.947912000003</v>
      </c>
    </row>
    <row r="60" spans="2:15" x14ac:dyDescent="0.25">
      <c r="B60" s="1" t="s">
        <v>382</v>
      </c>
      <c r="G60" s="92">
        <f>(G59/F59)-1</f>
        <v>0.51724137931034475</v>
      </c>
      <c r="H60" s="92">
        <f t="shared" ref="H60:J60" si="12">(H59/G59)-1</f>
        <v>-0.11363636363636365</v>
      </c>
      <c r="I60" s="92">
        <f t="shared" si="12"/>
        <v>0.76923076923076916</v>
      </c>
      <c r="J60" s="92">
        <f t="shared" si="12"/>
        <v>0.17391304347826098</v>
      </c>
      <c r="K60" s="90">
        <f>E41</f>
        <v>0.05</v>
      </c>
      <c r="L60" s="90">
        <f t="shared" ref="L60:O60" si="13">F41</f>
        <v>0.04</v>
      </c>
      <c r="M60" s="90">
        <f t="shared" si="13"/>
        <v>0.03</v>
      </c>
      <c r="N60" s="90">
        <f t="shared" si="13"/>
        <v>1.9999999999999997E-2</v>
      </c>
      <c r="O60" s="90">
        <f t="shared" si="13"/>
        <v>9.9999999999999967E-3</v>
      </c>
    </row>
    <row r="62" spans="2:15" x14ac:dyDescent="0.25">
      <c r="B62" s="1" t="s">
        <v>242</v>
      </c>
      <c r="F62" s="24">
        <f>'Production &amp; Reserves'!F32</f>
        <v>1759500</v>
      </c>
      <c r="G62" s="24">
        <f>'Production &amp; Reserves'!G32</f>
        <v>1659833.3333333333</v>
      </c>
      <c r="H62" s="24">
        <f>'Production &amp; Reserves'!H32</f>
        <v>1494000</v>
      </c>
      <c r="I62" s="24">
        <f>'Production &amp; Reserves'!I32</f>
        <v>1279666.6666666665</v>
      </c>
      <c r="J62" s="24">
        <f>'Production &amp; Reserves'!J32</f>
        <v>1970833.3333333333</v>
      </c>
      <c r="K62" s="91">
        <f>(K53/6)+K56+K59</f>
        <v>2069375</v>
      </c>
      <c r="L62" s="91">
        <f t="shared" ref="L62:O62" si="14">(L53/6)+L56+L59</f>
        <v>2152150</v>
      </c>
      <c r="M62" s="91">
        <f t="shared" si="14"/>
        <v>2216714.5</v>
      </c>
      <c r="N62" s="91">
        <f t="shared" si="14"/>
        <v>2261048.7900000005</v>
      </c>
      <c r="O62" s="91">
        <f t="shared" si="14"/>
        <v>2283659.2779000006</v>
      </c>
    </row>
    <row r="63" spans="2:15" x14ac:dyDescent="0.25">
      <c r="B63" s="1" t="s">
        <v>243</v>
      </c>
      <c r="F63" s="24">
        <f>'Production &amp; Reserves'!F33</f>
        <v>1759.5</v>
      </c>
      <c r="G63" s="24">
        <f>'Production &amp; Reserves'!G33</f>
        <v>1659.8333333333333</v>
      </c>
      <c r="H63" s="24">
        <f>'Production &amp; Reserves'!H33</f>
        <v>1494</v>
      </c>
      <c r="I63" s="24">
        <f>'Production &amp; Reserves'!I33</f>
        <v>1279.6666666666665</v>
      </c>
      <c r="J63" s="24">
        <f>'Production &amp; Reserves'!J33</f>
        <v>1970.8333333333333</v>
      </c>
      <c r="K63" s="91">
        <f>K62/1000</f>
        <v>2069.375</v>
      </c>
      <c r="L63" s="91">
        <f t="shared" ref="L63:O63" si="15">L62/1000</f>
        <v>2152.15</v>
      </c>
      <c r="M63" s="91">
        <f t="shared" si="15"/>
        <v>2216.7145</v>
      </c>
      <c r="N63" s="91">
        <f t="shared" si="15"/>
        <v>2261.0487900000003</v>
      </c>
      <c r="O63" s="91">
        <f t="shared" si="15"/>
        <v>2283.6592779000007</v>
      </c>
    </row>
    <row r="64" spans="2:15" x14ac:dyDescent="0.25">
      <c r="B64" s="1" t="s">
        <v>387</v>
      </c>
      <c r="G64" s="86">
        <f>(G62/F62)-1</f>
        <v>-5.6644880174292034E-2</v>
      </c>
      <c r="H64" s="86">
        <f t="shared" ref="H64:O64" si="16">(H62/G62)-1</f>
        <v>-9.9909629480871565E-2</v>
      </c>
      <c r="I64" s="86">
        <f t="shared" si="16"/>
        <v>-0.14346273984828217</v>
      </c>
      <c r="J64" s="86">
        <f t="shared" si="16"/>
        <v>0.5401146131805159</v>
      </c>
      <c r="K64" s="86">
        <f t="shared" si="16"/>
        <v>5.0000000000000044E-2</v>
      </c>
      <c r="L64" s="86">
        <f t="shared" si="16"/>
        <v>4.0000000000000036E-2</v>
      </c>
      <c r="M64" s="86">
        <f t="shared" si="16"/>
        <v>3.0000000000000027E-2</v>
      </c>
      <c r="N64" s="86">
        <f t="shared" si="16"/>
        <v>2.000000000000024E-2</v>
      </c>
      <c r="O64" s="86">
        <f t="shared" si="16"/>
        <v>1.0000000000000009E-2</v>
      </c>
    </row>
    <row r="65" spans="2:16" x14ac:dyDescent="0.25">
      <c r="K65" s="86"/>
      <c r="L65" s="86"/>
      <c r="M65" s="86"/>
      <c r="N65" s="86"/>
      <c r="O65" s="86"/>
    </row>
    <row r="67" spans="2:16" ht="23.25" x14ac:dyDescent="0.35">
      <c r="B67" s="46" t="s">
        <v>403</v>
      </c>
      <c r="C67" s="53"/>
      <c r="D67" s="53"/>
      <c r="E67" s="53"/>
      <c r="F67" s="54"/>
      <c r="G67" s="54"/>
      <c r="H67" s="54"/>
      <c r="I67" s="54"/>
      <c r="J67" s="54"/>
      <c r="K67" s="53"/>
      <c r="L67" s="53"/>
      <c r="M67" s="53"/>
      <c r="N67" s="53"/>
      <c r="O67" s="53"/>
      <c r="P67" s="53"/>
    </row>
    <row r="69" spans="2:16" ht="16.5" thickBot="1" x14ac:dyDescent="0.3">
      <c r="F69" s="85">
        <v>2021</v>
      </c>
      <c r="G69" s="85">
        <f>F69+1</f>
        <v>2022</v>
      </c>
      <c r="H69" s="85">
        <f t="shared" ref="H69:O69" si="17">G69+1</f>
        <v>2023</v>
      </c>
      <c r="I69" s="85">
        <f t="shared" si="17"/>
        <v>2024</v>
      </c>
      <c r="J69" s="85">
        <f t="shared" si="17"/>
        <v>2025</v>
      </c>
      <c r="K69" s="94">
        <f t="shared" si="17"/>
        <v>2026</v>
      </c>
      <c r="L69" s="94">
        <f t="shared" si="17"/>
        <v>2027</v>
      </c>
      <c r="M69" s="94">
        <f t="shared" si="17"/>
        <v>2028</v>
      </c>
      <c r="N69" s="94">
        <f t="shared" si="17"/>
        <v>2029</v>
      </c>
      <c r="O69" s="94">
        <f t="shared" si="17"/>
        <v>2030</v>
      </c>
    </row>
    <row r="71" spans="2:16" x14ac:dyDescent="0.25">
      <c r="B71" s="10" t="s">
        <v>36</v>
      </c>
    </row>
    <row r="73" spans="2:16" x14ac:dyDescent="0.25">
      <c r="B73" s="32" t="s">
        <v>17</v>
      </c>
      <c r="F73" s="16">
        <f>'Historical Financials'!F10</f>
        <v>31708185</v>
      </c>
      <c r="G73" s="16">
        <f>'Historical Financials'!G10</f>
        <v>56948734</v>
      </c>
      <c r="H73" s="16">
        <f>'Historical Financials'!H10</f>
        <v>14864214</v>
      </c>
      <c r="I73" s="16">
        <f>'Historical Financials'!I10</f>
        <v>10786068</v>
      </c>
      <c r="J73" s="16">
        <f>'Historical Financials'!J10</f>
        <v>29121446</v>
      </c>
      <c r="K73" s="16">
        <f>K53*E42</f>
        <v>36753675</v>
      </c>
      <c r="L73" s="16">
        <f t="shared" ref="L73:O73" si="18">L53*F42</f>
        <v>38223822</v>
      </c>
      <c r="M73" s="16">
        <f t="shared" si="18"/>
        <v>39370536.659999996</v>
      </c>
      <c r="N73" s="16">
        <f t="shared" si="18"/>
        <v>40157947.393200003</v>
      </c>
      <c r="O73" s="16">
        <f t="shared" si="18"/>
        <v>40559526.867132008</v>
      </c>
    </row>
    <row r="74" spans="2:16" x14ac:dyDescent="0.25">
      <c r="B74" s="32" t="s">
        <v>327</v>
      </c>
      <c r="G74" s="86">
        <f>(G73/F73)-1</f>
        <v>0.79602629415717119</v>
      </c>
      <c r="H74" s="86">
        <f t="shared" ref="H74:O74" si="19">(H73/G73)-1</f>
        <v>-0.73898956208578759</v>
      </c>
      <c r="I74" s="86">
        <f t="shared" si="19"/>
        <v>-0.27436001661440024</v>
      </c>
      <c r="J74" s="86">
        <f t="shared" si="19"/>
        <v>1.699913073049419</v>
      </c>
      <c r="K74" s="86">
        <f t="shared" si="19"/>
        <v>0.2620827619617514</v>
      </c>
      <c r="L74" s="86">
        <f t="shared" si="19"/>
        <v>4.0000000000000036E-2</v>
      </c>
      <c r="M74" s="86">
        <f t="shared" si="19"/>
        <v>2.9999999999999805E-2</v>
      </c>
      <c r="N74" s="86">
        <f t="shared" si="19"/>
        <v>2.000000000000024E-2</v>
      </c>
      <c r="O74" s="86">
        <f t="shared" si="19"/>
        <v>1.0000000000000231E-2</v>
      </c>
    </row>
    <row r="75" spans="2:16" x14ac:dyDescent="0.25">
      <c r="B75" s="32"/>
    </row>
    <row r="76" spans="2:16" x14ac:dyDescent="0.25">
      <c r="B76" s="32" t="s">
        <v>404</v>
      </c>
      <c r="F76" s="16">
        <f>'Historical Financials'!F12</f>
        <v>1776496</v>
      </c>
      <c r="G76" s="16">
        <f>'Historical Financials'!G12</f>
        <v>3195333</v>
      </c>
      <c r="H76" s="16">
        <f>'Historical Financials'!H12</f>
        <v>5090589</v>
      </c>
      <c r="I76" s="16">
        <f>'Historical Financials'!I12</f>
        <v>13730686</v>
      </c>
      <c r="J76" s="16">
        <f>'Historical Financials'!J12</f>
        <v>13803515</v>
      </c>
      <c r="K76" s="16">
        <f>K56*E43</f>
        <v>16390500</v>
      </c>
      <c r="L76" s="16">
        <f t="shared" ref="L76:O76" si="20">L56*F43</f>
        <v>17046120</v>
      </c>
      <c r="M76" s="16">
        <f t="shared" si="20"/>
        <v>17557503.600000001</v>
      </c>
      <c r="N76" s="16">
        <f t="shared" si="20"/>
        <v>17908653.672000002</v>
      </c>
      <c r="O76" s="16">
        <f t="shared" si="20"/>
        <v>18087740.208719999</v>
      </c>
    </row>
    <row r="77" spans="2:16" x14ac:dyDescent="0.25">
      <c r="B77" s="32" t="s">
        <v>248</v>
      </c>
      <c r="G77" s="86">
        <f>(G76/F76)-1</f>
        <v>0.7986716547630841</v>
      </c>
      <c r="H77" s="86">
        <f t="shared" ref="H77" si="21">(H76/G76)-1</f>
        <v>0.59313254674864879</v>
      </c>
      <c r="I77" s="86">
        <f t="shared" ref="I77" si="22">(I76/H76)-1</f>
        <v>1.6972686264791754</v>
      </c>
      <c r="J77" s="86">
        <f t="shared" ref="J77" si="23">(J76/I76)-1</f>
        <v>5.3041049806250573E-3</v>
      </c>
      <c r="K77" s="86">
        <f t="shared" ref="K77" si="24">(K76/J76)-1</f>
        <v>0.18741494467170128</v>
      </c>
      <c r="L77" s="86">
        <f t="shared" ref="L77" si="25">(L76/K76)-1</f>
        <v>4.0000000000000036E-2</v>
      </c>
      <c r="M77" s="86">
        <f t="shared" ref="M77" si="26">(M76/L76)-1</f>
        <v>3.0000000000000027E-2</v>
      </c>
      <c r="N77" s="86">
        <f t="shared" ref="N77" si="27">(N76/M76)-1</f>
        <v>2.0000000000000018E-2</v>
      </c>
      <c r="O77" s="86">
        <f t="shared" ref="O77" si="28">(O76/N76)-1</f>
        <v>9.9999999999997868E-3</v>
      </c>
    </row>
    <row r="78" spans="2:16" x14ac:dyDescent="0.25">
      <c r="B78" s="32"/>
    </row>
    <row r="79" spans="2:16" x14ac:dyDescent="0.25">
      <c r="B79" s="32" t="s">
        <v>236</v>
      </c>
      <c r="F79" s="16">
        <f>'Historical Financials'!F11</f>
        <v>1053486</v>
      </c>
      <c r="G79" s="16">
        <f>'Historical Financials'!G11</f>
        <v>1733130</v>
      </c>
      <c r="H79" s="16">
        <f>'Historical Financials'!H11</f>
        <v>984418</v>
      </c>
      <c r="I79" s="16">
        <f>'Historical Financials'!I11</f>
        <v>1481958</v>
      </c>
      <c r="J79" s="16">
        <f>'Historical Financials'!J11</f>
        <v>1978860</v>
      </c>
      <c r="K79" s="16">
        <f>K59*E44</f>
        <v>2126250</v>
      </c>
      <c r="L79" s="16">
        <f t="shared" ref="L79:O79" si="29">L59*F44</f>
        <v>2211300</v>
      </c>
      <c r="M79" s="16">
        <f t="shared" si="29"/>
        <v>2277639</v>
      </c>
      <c r="N79" s="16">
        <f t="shared" si="29"/>
        <v>2323191.7799999998</v>
      </c>
      <c r="O79" s="16">
        <f t="shared" si="29"/>
        <v>2346423.6978000002</v>
      </c>
    </row>
    <row r="80" spans="2:16" x14ac:dyDescent="0.25">
      <c r="B80" s="32" t="s">
        <v>249</v>
      </c>
      <c r="G80" s="86">
        <f>(G79/F79)-1</f>
        <v>0.6451381413706494</v>
      </c>
      <c r="H80" s="86">
        <f t="shared" ref="H80" si="30">(H79/G79)-1</f>
        <v>-0.431999907681478</v>
      </c>
      <c r="I80" s="86">
        <f t="shared" ref="I80" si="31">(I79/H79)-1</f>
        <v>0.50541538248995854</v>
      </c>
      <c r="J80" s="86">
        <f t="shared" ref="J80" si="32">(J79/I79)-1</f>
        <v>0.33530100043321065</v>
      </c>
      <c r="K80" s="86">
        <f t="shared" ref="K80" si="33">(K79/J79)-1</f>
        <v>7.448227767502491E-2</v>
      </c>
      <c r="L80" s="86">
        <f t="shared" ref="L80" si="34">(L79/K79)-1</f>
        <v>4.0000000000000036E-2</v>
      </c>
      <c r="M80" s="86">
        <f t="shared" ref="M80" si="35">(M79/L79)-1</f>
        <v>3.0000000000000027E-2</v>
      </c>
      <c r="N80" s="86">
        <f t="shared" ref="N80" si="36">(N79/M79)-1</f>
        <v>2.0000000000000018E-2</v>
      </c>
      <c r="O80" s="86">
        <f t="shared" ref="O80" si="37">(O79/N79)-1</f>
        <v>1.0000000000000231E-2</v>
      </c>
    </row>
    <row r="82" spans="2:15" x14ac:dyDescent="0.25">
      <c r="B82" s="10" t="s">
        <v>405</v>
      </c>
      <c r="F82" s="17">
        <f t="shared" ref="F82:O82" si="38">F79+F76+F73</f>
        <v>34538167</v>
      </c>
      <c r="G82" s="17">
        <f t="shared" si="38"/>
        <v>61877197</v>
      </c>
      <c r="H82" s="17">
        <f t="shared" si="38"/>
        <v>20939221</v>
      </c>
      <c r="I82" s="17">
        <f t="shared" si="38"/>
        <v>25998712</v>
      </c>
      <c r="J82" s="17">
        <f t="shared" si="38"/>
        <v>44903821</v>
      </c>
      <c r="K82" s="17">
        <f t="shared" si="38"/>
        <v>55270425</v>
      </c>
      <c r="L82" s="17">
        <f t="shared" si="38"/>
        <v>57481242</v>
      </c>
      <c r="M82" s="17">
        <f t="shared" si="38"/>
        <v>59205679.259999998</v>
      </c>
      <c r="N82" s="17">
        <f t="shared" si="38"/>
        <v>60389792.845200002</v>
      </c>
      <c r="O82" s="17">
        <f t="shared" si="38"/>
        <v>60993690.773652002</v>
      </c>
    </row>
    <row r="83" spans="2:15" x14ac:dyDescent="0.25">
      <c r="B83" s="10" t="s">
        <v>406</v>
      </c>
      <c r="G83" s="97">
        <f>(G82/F82)-1</f>
        <v>0.79155995742333407</v>
      </c>
      <c r="H83" s="97">
        <f t="shared" ref="H83" si="39">(H82/G82)-1</f>
        <v>-0.6616003630545837</v>
      </c>
      <c r="I83" s="97">
        <f t="shared" ref="I83" si="40">(I82/H82)-1</f>
        <v>0.241627470286502</v>
      </c>
      <c r="J83" s="97">
        <f t="shared" ref="J83" si="41">(J82/I82)-1</f>
        <v>0.72715559909275496</v>
      </c>
      <c r="K83" s="97">
        <f t="shared" ref="K83" si="42">(K82/J82)-1</f>
        <v>0.23086240255589829</v>
      </c>
      <c r="L83" s="97">
        <f t="shared" ref="L83" si="43">(L82/K82)-1</f>
        <v>4.0000000000000036E-2</v>
      </c>
      <c r="M83" s="97">
        <f t="shared" ref="M83" si="44">(M82/L82)-1</f>
        <v>3.0000000000000027E-2</v>
      </c>
      <c r="N83" s="97">
        <f t="shared" ref="N83" si="45">(N82/M82)-1</f>
        <v>2.0000000000000018E-2</v>
      </c>
      <c r="O83" s="97">
        <f t="shared" ref="O83" si="46">(O82/N82)-1</f>
        <v>1.0000000000000009E-2</v>
      </c>
    </row>
    <row r="84" spans="2:15" x14ac:dyDescent="0.25">
      <c r="B84" s="10"/>
      <c r="G84" s="97"/>
      <c r="H84" s="97"/>
      <c r="I84" s="97"/>
      <c r="J84" s="97"/>
      <c r="K84" s="97"/>
      <c r="L84" s="97"/>
      <c r="M84" s="97"/>
      <c r="N84" s="97"/>
      <c r="O84" s="97"/>
    </row>
    <row r="85" spans="2:15" x14ac:dyDescent="0.25">
      <c r="B85" s="32" t="s">
        <v>422</v>
      </c>
      <c r="F85" s="16">
        <f>'Historical Financials'!F13</f>
        <v>7865825</v>
      </c>
      <c r="G85" s="16">
        <f>'Historical Financials'!G13</f>
        <v>8085512</v>
      </c>
      <c r="H85" s="16">
        <f>'Historical Financials'!H13</f>
        <v>9790531</v>
      </c>
      <c r="I85" s="16">
        <f>'Historical Financials'!I13</f>
        <v>5524063</v>
      </c>
      <c r="J85" s="16">
        <f>'Historical Financials'!J13</f>
        <v>6683735</v>
      </c>
      <c r="K85" s="16">
        <f>J85*(1+K86)</f>
        <v>7017921.75</v>
      </c>
      <c r="L85" s="16">
        <f t="shared" ref="L85:O85" si="47">K85*(1+L86)</f>
        <v>7368817.8375000004</v>
      </c>
      <c r="M85" s="16">
        <f t="shared" si="47"/>
        <v>7737258.729375001</v>
      </c>
      <c r="N85" s="16">
        <f t="shared" si="47"/>
        <v>8124121.6658437513</v>
      </c>
      <c r="O85" s="16">
        <f t="shared" si="47"/>
        <v>8530327.7491359394</v>
      </c>
    </row>
    <row r="86" spans="2:15" x14ac:dyDescent="0.25">
      <c r="B86" s="32" t="s">
        <v>423</v>
      </c>
      <c r="G86" s="86">
        <f>(G85/F85)-1</f>
        <v>2.7929301757921188E-2</v>
      </c>
      <c r="H86" s="86">
        <f t="shared" ref="H86" si="48">(H85/G85)-1</f>
        <v>0.21087334976436867</v>
      </c>
      <c r="I86" s="86">
        <f t="shared" ref="I86" si="49">(I85/H85)-1</f>
        <v>-0.43577493396425582</v>
      </c>
      <c r="J86" s="86">
        <f t="shared" ref="J86" si="50">(J85/I85)-1</f>
        <v>0.20993098739098381</v>
      </c>
      <c r="K86" s="86">
        <v>0.05</v>
      </c>
      <c r="L86" s="86">
        <f>K86</f>
        <v>0.05</v>
      </c>
      <c r="M86" s="86">
        <f t="shared" ref="M86:O86" si="51">L86</f>
        <v>0.05</v>
      </c>
      <c r="N86" s="86">
        <f t="shared" si="51"/>
        <v>0.05</v>
      </c>
      <c r="O86" s="86">
        <f t="shared" si="51"/>
        <v>0.05</v>
      </c>
    </row>
    <row r="87" spans="2:15" x14ac:dyDescent="0.25">
      <c r="B87" s="10"/>
      <c r="G87" s="97"/>
      <c r="H87" s="97"/>
      <c r="I87" s="97"/>
      <c r="J87" s="97"/>
      <c r="K87" s="97"/>
      <c r="L87" s="97"/>
      <c r="M87" s="97"/>
      <c r="N87" s="97"/>
      <c r="O87" s="97"/>
    </row>
    <row r="88" spans="2:15" x14ac:dyDescent="0.25">
      <c r="B88" s="10" t="s">
        <v>16</v>
      </c>
      <c r="F88" s="17">
        <f>F85+F82</f>
        <v>42403992</v>
      </c>
      <c r="G88" s="17">
        <f t="shared" ref="G88:O88" si="52">G85+G82</f>
        <v>69962709</v>
      </c>
      <c r="H88" s="17">
        <f t="shared" si="52"/>
        <v>30729752</v>
      </c>
      <c r="I88" s="17">
        <f t="shared" si="52"/>
        <v>31522775</v>
      </c>
      <c r="J88" s="17">
        <f t="shared" si="52"/>
        <v>51587556</v>
      </c>
      <c r="K88" s="17">
        <f t="shared" si="52"/>
        <v>62288346.75</v>
      </c>
      <c r="L88" s="17">
        <f t="shared" si="52"/>
        <v>64850059.837499999</v>
      </c>
      <c r="M88" s="17">
        <f t="shared" si="52"/>
        <v>66942937.989374995</v>
      </c>
      <c r="N88" s="17">
        <f t="shared" si="52"/>
        <v>68513914.511043757</v>
      </c>
      <c r="O88" s="17">
        <f t="shared" si="52"/>
        <v>69524018.522787943</v>
      </c>
    </row>
    <row r="89" spans="2:15" x14ac:dyDescent="0.25">
      <c r="B89" s="10" t="s">
        <v>424</v>
      </c>
      <c r="F89" s="10"/>
      <c r="G89" s="97">
        <f>(G88/F88)-1</f>
        <v>0.64990855106283396</v>
      </c>
      <c r="H89" s="97">
        <f t="shared" ref="H89" si="53">(H88/G88)-1</f>
        <v>-0.56076955224818414</v>
      </c>
      <c r="I89" s="97">
        <f t="shared" ref="I89" si="54">(I88/H88)-1</f>
        <v>2.5806358606473623E-2</v>
      </c>
      <c r="J89" s="97">
        <f t="shared" ref="J89" si="55">(J88/I88)-1</f>
        <v>0.63651696273567282</v>
      </c>
      <c r="K89" s="97">
        <f t="shared" ref="K89" si="56">(K88/J88)-1</f>
        <v>0.20742969002059342</v>
      </c>
      <c r="L89" s="97">
        <f t="shared" ref="L89" si="57">(L88/K88)-1</f>
        <v>4.1126682937687731E-2</v>
      </c>
      <c r="M89" s="97">
        <f t="shared" ref="M89" si="58">(M88/L88)-1</f>
        <v>3.2272570867618144E-2</v>
      </c>
      <c r="N89" s="97">
        <f t="shared" ref="N89" si="59">(N88/M88)-1</f>
        <v>2.3467397291677017E-2</v>
      </c>
      <c r="O89" s="97">
        <f t="shared" ref="O89" si="60">(O88/N88)-1</f>
        <v>1.4743049188663315E-2</v>
      </c>
    </row>
    <row r="91" spans="2:15" x14ac:dyDescent="0.25">
      <c r="B91" s="10" t="s">
        <v>428</v>
      </c>
    </row>
    <row r="92" spans="2:15" x14ac:dyDescent="0.25">
      <c r="B92" s="32" t="s">
        <v>407</v>
      </c>
      <c r="F92" s="87">
        <f>F73/F88</f>
        <v>0.74776414918670864</v>
      </c>
      <c r="G92" s="87">
        <f t="shared" ref="G92:O92" si="61">G73/G88</f>
        <v>0.81398697697654898</v>
      </c>
      <c r="H92" s="87">
        <f t="shared" si="61"/>
        <v>0.4837075808486837</v>
      </c>
      <c r="I92" s="87">
        <f t="shared" si="61"/>
        <v>0.34216746463469666</v>
      </c>
      <c r="J92" s="87">
        <f t="shared" si="61"/>
        <v>0.56450524618766584</v>
      </c>
      <c r="K92" s="87">
        <f t="shared" si="61"/>
        <v>0.59005699970677095</v>
      </c>
      <c r="L92" s="87">
        <f t="shared" si="61"/>
        <v>0.58941845382688163</v>
      </c>
      <c r="M92" s="87">
        <f t="shared" si="61"/>
        <v>0.58812083608055543</v>
      </c>
      <c r="N92" s="87">
        <f t="shared" si="61"/>
        <v>0.58612834604169262</v>
      </c>
      <c r="O92" s="87">
        <f t="shared" si="61"/>
        <v>0.58338870118443709</v>
      </c>
    </row>
    <row r="93" spans="2:15" x14ac:dyDescent="0.25">
      <c r="B93" s="32" t="s">
        <v>408</v>
      </c>
      <c r="F93" s="87">
        <f>F76/F88</f>
        <v>4.1894546154994085E-2</v>
      </c>
      <c r="G93" s="87">
        <f t="shared" ref="G93:O93" si="62">G76/G88</f>
        <v>4.5671945035747542E-2</v>
      </c>
      <c r="H93" s="87">
        <f t="shared" si="62"/>
        <v>0.1656566899726363</v>
      </c>
      <c r="I93" s="87">
        <f t="shared" si="62"/>
        <v>0.43557986249624281</v>
      </c>
      <c r="J93" s="87">
        <f t="shared" si="62"/>
        <v>0.26757450963561835</v>
      </c>
      <c r="K93" s="87">
        <f t="shared" si="62"/>
        <v>0.26313910795842405</v>
      </c>
      <c r="L93" s="87">
        <f t="shared" si="62"/>
        <v>0.26285434497229193</v>
      </c>
      <c r="M93" s="87">
        <f t="shared" si="62"/>
        <v>0.2622756653253952</v>
      </c>
      <c r="N93" s="87">
        <f t="shared" si="62"/>
        <v>0.26138710362423251</v>
      </c>
      <c r="O93" s="87">
        <f t="shared" si="62"/>
        <v>0.26016534419383952</v>
      </c>
    </row>
    <row r="94" spans="2:15" x14ac:dyDescent="0.25">
      <c r="B94" s="32" t="s">
        <v>409</v>
      </c>
      <c r="F94" s="87">
        <f>F79/F88</f>
        <v>2.4844028835775651E-2</v>
      </c>
      <c r="G94" s="87">
        <f t="shared" ref="G94:O94" si="63">G79/G88</f>
        <v>2.4772196857042801E-2</v>
      </c>
      <c r="H94" s="87">
        <f t="shared" si="63"/>
        <v>3.2034687426048869E-2</v>
      </c>
      <c r="I94" s="87">
        <f t="shared" si="63"/>
        <v>4.7012295078716897E-2</v>
      </c>
      <c r="J94" s="87">
        <f t="shared" si="63"/>
        <v>3.8359250823977779E-2</v>
      </c>
      <c r="K94" s="87">
        <f t="shared" si="63"/>
        <v>3.4135598566035145E-2</v>
      </c>
      <c r="L94" s="87">
        <f t="shared" si="63"/>
        <v>3.4098657819916153E-2</v>
      </c>
      <c r="M94" s="87">
        <f t="shared" si="63"/>
        <v>3.4023588871487848E-2</v>
      </c>
      <c r="N94" s="87">
        <f t="shared" si="63"/>
        <v>3.3908320617493319E-2</v>
      </c>
      <c r="O94" s="87">
        <f t="shared" si="63"/>
        <v>3.3749828442826722E-2</v>
      </c>
    </row>
    <row r="95" spans="2:15" x14ac:dyDescent="0.25">
      <c r="B95" s="32" t="s">
        <v>426</v>
      </c>
      <c r="F95" s="87">
        <f>F85/F88</f>
        <v>0.18549727582252162</v>
      </c>
      <c r="G95" s="87">
        <f t="shared" ref="G95:O95" si="64">G85/G88</f>
        <v>0.11556888113066062</v>
      </c>
      <c r="H95" s="87">
        <f t="shared" si="64"/>
        <v>0.31860104175263115</v>
      </c>
      <c r="I95" s="87">
        <f t="shared" si="64"/>
        <v>0.17524037779034365</v>
      </c>
      <c r="J95" s="87">
        <f t="shared" si="64"/>
        <v>0.12956099335273802</v>
      </c>
      <c r="K95" s="87">
        <f t="shared" si="64"/>
        <v>0.11266829376876984</v>
      </c>
      <c r="L95" s="87">
        <f t="shared" si="64"/>
        <v>0.11362854338091034</v>
      </c>
      <c r="M95" s="87">
        <f t="shared" si="64"/>
        <v>0.1155799097225616</v>
      </c>
      <c r="N95" s="87">
        <f t="shared" si="64"/>
        <v>0.11857622971658151</v>
      </c>
      <c r="O95" s="87">
        <f t="shared" si="64"/>
        <v>0.12269612617889668</v>
      </c>
    </row>
    <row r="97" spans="2:16" x14ac:dyDescent="0.25">
      <c r="B97" s="10" t="s">
        <v>429</v>
      </c>
    </row>
    <row r="98" spans="2:16" x14ac:dyDescent="0.25">
      <c r="B98" s="32" t="s">
        <v>402</v>
      </c>
      <c r="F98" s="67">
        <f>'Production &amp; Reserves'!F50</f>
        <v>3.0986206391087658</v>
      </c>
      <c r="G98" s="67">
        <f>'Production &amp; Reserves'!G50</f>
        <v>5.992711143849311</v>
      </c>
      <c r="H98" s="67">
        <f>'Production &amp; Reserves'!H50</f>
        <v>1.7822798561151079</v>
      </c>
      <c r="I98" s="67">
        <f>'Production &amp; Reserves'!I50</f>
        <v>1.756116574405731</v>
      </c>
      <c r="J98" s="67">
        <f>'Production &amp; Reserves'!J50</f>
        <v>2.911853414658534</v>
      </c>
      <c r="K98" s="98">
        <f t="shared" ref="K98:O100" si="65">E42</f>
        <v>3.5</v>
      </c>
      <c r="L98" s="98">
        <f t="shared" si="65"/>
        <v>3.5</v>
      </c>
      <c r="M98" s="98">
        <f t="shared" si="65"/>
        <v>3.5</v>
      </c>
      <c r="N98" s="98">
        <f t="shared" si="65"/>
        <v>3.5</v>
      </c>
      <c r="O98" s="98">
        <f t="shared" si="65"/>
        <v>3.5</v>
      </c>
    </row>
    <row r="99" spans="2:16" x14ac:dyDescent="0.25">
      <c r="B99" s="32" t="s">
        <v>388</v>
      </c>
      <c r="F99" s="67">
        <f>'Production &amp; Reserves'!F51</f>
        <v>71.059839999999994</v>
      </c>
      <c r="G99" s="67">
        <f>'Production &amp; Reserves'!G51</f>
        <v>99.854156250000003</v>
      </c>
      <c r="H99" s="67">
        <f>'Production &amp; Reserves'!H51</f>
        <v>78.316753846153844</v>
      </c>
      <c r="I99" s="67">
        <f>'Production &amp; Reserves'!I51</f>
        <v>73.426128342245988</v>
      </c>
      <c r="J99" s="67">
        <f>'Production &amp; Reserves'!J51</f>
        <v>61.899170403587441</v>
      </c>
      <c r="K99" s="98">
        <f t="shared" si="65"/>
        <v>70</v>
      </c>
      <c r="L99" s="98">
        <f t="shared" si="65"/>
        <v>70</v>
      </c>
      <c r="M99" s="98">
        <f t="shared" si="65"/>
        <v>70</v>
      </c>
      <c r="N99" s="98">
        <f t="shared" si="65"/>
        <v>70</v>
      </c>
      <c r="O99" s="98">
        <f t="shared" si="65"/>
        <v>70</v>
      </c>
    </row>
    <row r="100" spans="2:16" x14ac:dyDescent="0.25">
      <c r="B100" s="32" t="s">
        <v>389</v>
      </c>
      <c r="F100" s="67">
        <f>'Production &amp; Reserves'!F52</f>
        <v>36.327103448275864</v>
      </c>
      <c r="G100" s="67">
        <f>'Production &amp; Reserves'!G52</f>
        <v>39.389318181818183</v>
      </c>
      <c r="H100" s="67">
        <f>'Production &amp; Reserves'!H52</f>
        <v>25.24148717948718</v>
      </c>
      <c r="I100" s="67">
        <f>'Production &amp; Reserves'!I52</f>
        <v>21.477652173913043</v>
      </c>
      <c r="J100" s="67">
        <f>'Production &amp; Reserves'!J52</f>
        <v>24.430370370370369</v>
      </c>
      <c r="K100" s="98">
        <f t="shared" si="65"/>
        <v>25</v>
      </c>
      <c r="L100" s="98">
        <f t="shared" si="65"/>
        <v>25</v>
      </c>
      <c r="M100" s="98">
        <f t="shared" si="65"/>
        <v>25</v>
      </c>
      <c r="N100" s="98">
        <f t="shared" si="65"/>
        <v>25</v>
      </c>
      <c r="O100" s="98">
        <f t="shared" si="65"/>
        <v>25</v>
      </c>
    </row>
    <row r="102" spans="2:16" x14ac:dyDescent="0.25">
      <c r="B102" s="10" t="s">
        <v>427</v>
      </c>
      <c r="F102" s="99">
        <f t="shared" ref="F102:O102" si="66">F82/F62</f>
        <v>19.6295350951975</v>
      </c>
      <c r="G102" s="99">
        <f t="shared" si="66"/>
        <v>37.279162767346122</v>
      </c>
      <c r="H102" s="99">
        <f t="shared" si="66"/>
        <v>14.015542838018742</v>
      </c>
      <c r="I102" s="99">
        <f t="shared" si="66"/>
        <v>20.316784579317535</v>
      </c>
      <c r="J102" s="99">
        <f t="shared" si="66"/>
        <v>22.784179788583511</v>
      </c>
      <c r="K102" s="99">
        <f t="shared" si="66"/>
        <v>26.708752642706131</v>
      </c>
      <c r="L102" s="99">
        <f t="shared" si="66"/>
        <v>26.708752642706131</v>
      </c>
      <c r="M102" s="99">
        <f t="shared" si="66"/>
        <v>26.708752642706131</v>
      </c>
      <c r="N102" s="99">
        <f t="shared" si="66"/>
        <v>26.708752642706127</v>
      </c>
      <c r="O102" s="99">
        <f t="shared" si="66"/>
        <v>26.708752642706127</v>
      </c>
    </row>
    <row r="105" spans="2:16" ht="23.25" x14ac:dyDescent="0.35">
      <c r="B105" s="46" t="s">
        <v>410</v>
      </c>
      <c r="C105" s="53"/>
      <c r="D105" s="53"/>
      <c r="E105" s="53"/>
      <c r="F105" s="54"/>
      <c r="G105" s="54"/>
      <c r="H105" s="54"/>
      <c r="I105" s="54"/>
      <c r="J105" s="54"/>
      <c r="K105" s="53"/>
      <c r="L105" s="53"/>
      <c r="M105" s="53"/>
      <c r="N105" s="53"/>
      <c r="O105" s="53"/>
      <c r="P105" s="53"/>
    </row>
    <row r="107" spans="2:16" ht="16.5" thickBot="1" x14ac:dyDescent="0.3">
      <c r="F107" s="85">
        <v>2021</v>
      </c>
      <c r="G107" s="85">
        <f>F107+1</f>
        <v>2022</v>
      </c>
      <c r="H107" s="85">
        <f t="shared" ref="H107:O107" si="67">G107+1</f>
        <v>2023</v>
      </c>
      <c r="I107" s="85">
        <f t="shared" si="67"/>
        <v>2024</v>
      </c>
      <c r="J107" s="85">
        <f>I107+1</f>
        <v>2025</v>
      </c>
      <c r="K107" s="94">
        <f t="shared" si="67"/>
        <v>2026</v>
      </c>
      <c r="L107" s="94">
        <f t="shared" si="67"/>
        <v>2027</v>
      </c>
      <c r="M107" s="94">
        <f t="shared" si="67"/>
        <v>2028</v>
      </c>
      <c r="N107" s="94">
        <f t="shared" si="67"/>
        <v>2029</v>
      </c>
      <c r="O107" s="94">
        <f t="shared" si="67"/>
        <v>2030</v>
      </c>
    </row>
    <row r="109" spans="2:16" x14ac:dyDescent="0.25">
      <c r="B109" s="10" t="s">
        <v>421</v>
      </c>
    </row>
    <row r="111" spans="2:16" x14ac:dyDescent="0.25">
      <c r="B111" s="32" t="s">
        <v>411</v>
      </c>
      <c r="F111" s="16">
        <f>'Historical Financials'!F17</f>
        <v>7897738</v>
      </c>
      <c r="G111" s="16">
        <f>'Historical Financials'!G17</f>
        <v>7128631</v>
      </c>
      <c r="H111" s="16">
        <f>'Historical Financials'!H17</f>
        <v>6405281</v>
      </c>
      <c r="I111" s="16">
        <f>'Historical Financials'!I17</f>
        <v>7264824</v>
      </c>
      <c r="J111" s="16">
        <f>'Historical Financials'!J17</f>
        <v>12518325</v>
      </c>
      <c r="K111" s="16">
        <f>K112*K62</f>
        <v>13144241.25</v>
      </c>
      <c r="L111" s="16">
        <f>L112*L62</f>
        <v>13670010.9</v>
      </c>
      <c r="M111" s="16">
        <f>M112*M62</f>
        <v>14080111.227</v>
      </c>
      <c r="N111" s="16">
        <f>N112*N62</f>
        <v>14361713.451540003</v>
      </c>
      <c r="O111" s="16">
        <f>O112*O62</f>
        <v>14505330.586055404</v>
      </c>
    </row>
    <row r="112" spans="2:16" x14ac:dyDescent="0.25">
      <c r="B112" s="32" t="s">
        <v>412</v>
      </c>
      <c r="F112" s="100">
        <f>F111/F62</f>
        <v>4.4886263142938336</v>
      </c>
      <c r="G112" s="100">
        <f>G111/G62</f>
        <v>4.2947872276332966</v>
      </c>
      <c r="H112" s="100">
        <f>H111/H62</f>
        <v>4.2873366800535475</v>
      </c>
      <c r="I112" s="100">
        <f>I111/I62</f>
        <v>5.6771221672310501</v>
      </c>
      <c r="J112" s="100">
        <f>J111/J62</f>
        <v>6.3517928118393234</v>
      </c>
      <c r="K112" s="100">
        <f>J112</f>
        <v>6.3517928118393234</v>
      </c>
      <c r="L112" s="100">
        <f>K112</f>
        <v>6.3517928118393234</v>
      </c>
      <c r="M112" s="100">
        <f t="shared" ref="M112:O112" si="68">L112</f>
        <v>6.3517928118393234</v>
      </c>
      <c r="N112" s="100">
        <f t="shared" si="68"/>
        <v>6.3517928118393234</v>
      </c>
      <c r="O112" s="100">
        <f t="shared" si="68"/>
        <v>6.3517928118393234</v>
      </c>
    </row>
    <row r="113" spans="2:16" x14ac:dyDescent="0.25">
      <c r="B113" s="32"/>
      <c r="F113" s="16"/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2:16" x14ac:dyDescent="0.25">
      <c r="B114" s="32" t="s">
        <v>413</v>
      </c>
      <c r="F114" s="16">
        <f>'Historical Financials'!F18</f>
        <v>726646</v>
      </c>
      <c r="G114" s="16">
        <f>'Historical Financials'!G18</f>
        <v>2287763</v>
      </c>
      <c r="H114" s="16">
        <f>'Historical Financials'!H18</f>
        <v>2459694</v>
      </c>
      <c r="I114" s="16">
        <f>'Historical Financials'!I18</f>
        <v>2265190</v>
      </c>
      <c r="J114" s="16">
        <f>'Historical Financials'!J18</f>
        <v>2362036</v>
      </c>
      <c r="K114" s="16">
        <f>K115*K62</f>
        <v>3307434.5041838265</v>
      </c>
      <c r="L114" s="16">
        <f>L115*L62</f>
        <v>3439731.8843511799</v>
      </c>
      <c r="M114" s="16">
        <f>M115*M62</f>
        <v>3542923.8408817151</v>
      </c>
      <c r="N114" s="16">
        <f>N115*N62</f>
        <v>3613782.3176993504</v>
      </c>
      <c r="O114" s="16">
        <f>O115*O62</f>
        <v>3649920.1408763439</v>
      </c>
    </row>
    <row r="115" spans="2:16" x14ac:dyDescent="0.25">
      <c r="B115" s="32" t="s">
        <v>414</v>
      </c>
      <c r="F115" s="100">
        <f>F114/F62</f>
        <v>0.41298437055981813</v>
      </c>
      <c r="G115" s="100">
        <f>G114/G62</f>
        <v>1.3783088663520435</v>
      </c>
      <c r="H115" s="100">
        <f>H114/H62</f>
        <v>1.6463815261044177</v>
      </c>
      <c r="I115" s="100">
        <f>I114/I62</f>
        <v>1.7701406616306332</v>
      </c>
      <c r="J115" s="100">
        <f>J114/J62</f>
        <v>1.198496067653277</v>
      </c>
      <c r="K115" s="100">
        <f>AVERAGE(G115:I115)</f>
        <v>1.5982770180290313</v>
      </c>
      <c r="L115" s="100">
        <f>K115</f>
        <v>1.5982770180290313</v>
      </c>
      <c r="M115" s="100">
        <f t="shared" ref="M115:O115" si="69">L115</f>
        <v>1.5982770180290313</v>
      </c>
      <c r="N115" s="100">
        <f t="shared" si="69"/>
        <v>1.5982770180290313</v>
      </c>
      <c r="O115" s="100">
        <f t="shared" si="69"/>
        <v>1.5982770180290313</v>
      </c>
    </row>
    <row r="116" spans="2:16" x14ac:dyDescent="0.25">
      <c r="B116" s="32"/>
      <c r="F116" s="16"/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2:16" x14ac:dyDescent="0.25">
      <c r="B117" s="32" t="s">
        <v>415</v>
      </c>
      <c r="F117" s="16">
        <f>'Historical Financials'!F27</f>
        <v>5875732</v>
      </c>
      <c r="G117" s="16">
        <f>'Historical Financials'!G27</f>
        <v>6325412</v>
      </c>
      <c r="H117" s="16">
        <f>'Historical Financials'!H27</f>
        <v>6293234</v>
      </c>
      <c r="I117" s="16">
        <f>'Historical Financials'!I27</f>
        <v>5688714</v>
      </c>
      <c r="J117" s="16">
        <f>'Historical Financials'!J27</f>
        <v>7168235</v>
      </c>
      <c r="K117" s="16">
        <f>K118*K62</f>
        <v>8332253.2600578638</v>
      </c>
      <c r="L117" s="16">
        <f>L118*L62</f>
        <v>8665543.3904601783</v>
      </c>
      <c r="M117" s="16">
        <f>M118*M62</f>
        <v>8925509.6921739839</v>
      </c>
      <c r="N117" s="16">
        <f>N118*N62</f>
        <v>9104019.886017466</v>
      </c>
      <c r="O117" s="16">
        <f>O118*O62</f>
        <v>9195060.08487764</v>
      </c>
    </row>
    <row r="118" spans="2:16" x14ac:dyDescent="0.25">
      <c r="B118" s="32" t="s">
        <v>416</v>
      </c>
      <c r="F118" s="100">
        <f>F117/F62</f>
        <v>3.3394327934072181</v>
      </c>
      <c r="G118" s="100">
        <f>G117/G62</f>
        <v>3.8108717742745259</v>
      </c>
      <c r="H118" s="100">
        <f>H117/H62</f>
        <v>4.2123386880856764</v>
      </c>
      <c r="I118" s="100">
        <f>I117/I62</f>
        <v>4.4454654858035951</v>
      </c>
      <c r="J118" s="100">
        <f>J117/J62</f>
        <v>3.6371594080338268</v>
      </c>
      <c r="K118" s="100">
        <f>AVERAGE(G118:J118)</f>
        <v>4.0264588390494058</v>
      </c>
      <c r="L118" s="100">
        <f>K118</f>
        <v>4.0264588390494058</v>
      </c>
      <c r="M118" s="100">
        <f t="shared" ref="M118:O118" si="70">L118</f>
        <v>4.0264588390494058</v>
      </c>
      <c r="N118" s="100">
        <f t="shared" si="70"/>
        <v>4.0264588390494058</v>
      </c>
      <c r="O118" s="100">
        <f t="shared" si="70"/>
        <v>4.0264588390494058</v>
      </c>
    </row>
    <row r="119" spans="2:16" x14ac:dyDescent="0.25">
      <c r="B119" s="32"/>
      <c r="F119" s="16"/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2:16" x14ac:dyDescent="0.25">
      <c r="B120" s="32" t="s">
        <v>417</v>
      </c>
      <c r="F120" s="16">
        <f>'Historical Financials'!F20</f>
        <v>6627016</v>
      </c>
      <c r="G120" s="16">
        <f>'Historical Financials'!G20</f>
        <v>6438511</v>
      </c>
      <c r="H120" s="16">
        <f>'Historical Financials'!H20</f>
        <v>7685084</v>
      </c>
      <c r="I120" s="16">
        <f>'Historical Financials'!I20</f>
        <v>10185119</v>
      </c>
      <c r="J120" s="16">
        <f>'Historical Financials'!J20</f>
        <v>12170320</v>
      </c>
      <c r="K120" s="16">
        <f>K121*K62</f>
        <v>12778836</v>
      </c>
      <c r="L120" s="16">
        <f>L121*L62</f>
        <v>13289989.440000001</v>
      </c>
      <c r="M120" s="16">
        <f>M121*M62</f>
        <v>13688689.123200001</v>
      </c>
      <c r="N120" s="16">
        <f>N121*N62</f>
        <v>13962462.905664004</v>
      </c>
      <c r="O120" s="16">
        <f>O121*O62</f>
        <v>14102087.534720644</v>
      </c>
    </row>
    <row r="121" spans="2:16" x14ac:dyDescent="0.25">
      <c r="B121" s="32" t="s">
        <v>418</v>
      </c>
      <c r="F121" s="100">
        <f t="shared" ref="F121:J121" si="71">F120/F62</f>
        <v>3.7664200056834329</v>
      </c>
      <c r="G121" s="100">
        <f t="shared" si="71"/>
        <v>3.8790105432272317</v>
      </c>
      <c r="H121" s="100">
        <f t="shared" si="71"/>
        <v>5.1439651941097724</v>
      </c>
      <c r="I121" s="100">
        <f t="shared" si="71"/>
        <v>7.9591969262828872</v>
      </c>
      <c r="J121" s="100">
        <f t="shared" si="71"/>
        <v>6.1752152219873153</v>
      </c>
      <c r="K121" s="100">
        <f>J121</f>
        <v>6.1752152219873153</v>
      </c>
      <c r="L121" s="100">
        <f t="shared" ref="L121:O121" si="72">K121</f>
        <v>6.1752152219873153</v>
      </c>
      <c r="M121" s="100">
        <f t="shared" si="72"/>
        <v>6.1752152219873153</v>
      </c>
      <c r="N121" s="100">
        <f t="shared" si="72"/>
        <v>6.1752152219873153</v>
      </c>
      <c r="O121" s="100">
        <f t="shared" si="72"/>
        <v>6.1752152219873153</v>
      </c>
    </row>
    <row r="122" spans="2:16" x14ac:dyDescent="0.25">
      <c r="F122" s="16"/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2:16" x14ac:dyDescent="0.25">
      <c r="B123" s="10" t="s">
        <v>419</v>
      </c>
      <c r="F123" s="16">
        <f>F111+F114+F117+F120</f>
        <v>21127132</v>
      </c>
      <c r="G123" s="16">
        <f t="shared" ref="G123:O123" si="73">G111+G114+G117+G120</f>
        <v>22180317</v>
      </c>
      <c r="H123" s="16">
        <f t="shared" si="73"/>
        <v>22843293</v>
      </c>
      <c r="I123" s="16">
        <f t="shared" si="73"/>
        <v>25403847</v>
      </c>
      <c r="J123" s="16">
        <f t="shared" si="73"/>
        <v>34218916</v>
      </c>
      <c r="K123" s="16">
        <f t="shared" si="73"/>
        <v>37562765.014241695</v>
      </c>
      <c r="L123" s="16">
        <f t="shared" si="73"/>
        <v>39065275.614811361</v>
      </c>
      <c r="M123" s="16">
        <f t="shared" si="73"/>
        <v>40237233.883255698</v>
      </c>
      <c r="N123" s="16">
        <f t="shared" si="73"/>
        <v>41041978.56092082</v>
      </c>
      <c r="O123" s="16">
        <f t="shared" si="73"/>
        <v>41452398.346530035</v>
      </c>
    </row>
    <row r="124" spans="2:16" x14ac:dyDescent="0.25">
      <c r="B124" s="10" t="s">
        <v>420</v>
      </c>
      <c r="F124" s="100">
        <f t="shared" ref="F124:O124" si="74">F123/F62</f>
        <v>12.007463483944303</v>
      </c>
      <c r="G124" s="100">
        <f t="shared" si="74"/>
        <v>13.362978411487097</v>
      </c>
      <c r="H124" s="100">
        <f t="shared" si="74"/>
        <v>15.290022088353414</v>
      </c>
      <c r="I124" s="100">
        <f t="shared" si="74"/>
        <v>19.851925240948166</v>
      </c>
      <c r="J124" s="100">
        <f t="shared" si="74"/>
        <v>17.362663509513744</v>
      </c>
      <c r="K124" s="100">
        <f t="shared" si="74"/>
        <v>18.151743890905077</v>
      </c>
      <c r="L124" s="100">
        <f t="shared" si="74"/>
        <v>18.151743890905077</v>
      </c>
      <c r="M124" s="100">
        <f t="shared" si="74"/>
        <v>18.151743890905074</v>
      </c>
      <c r="N124" s="100">
        <f t="shared" si="74"/>
        <v>18.151743890905074</v>
      </c>
      <c r="O124" s="100">
        <f t="shared" si="74"/>
        <v>18.151743890905077</v>
      </c>
    </row>
    <row r="126" spans="2:16" x14ac:dyDescent="0.25">
      <c r="B126" s="10"/>
    </row>
    <row r="127" spans="2:16" ht="23.25" x14ac:dyDescent="0.35">
      <c r="B127" s="46" t="s">
        <v>425</v>
      </c>
      <c r="C127" s="53"/>
      <c r="D127" s="53"/>
      <c r="E127" s="53"/>
      <c r="F127" s="54"/>
      <c r="G127" s="54"/>
      <c r="H127" s="54"/>
      <c r="I127" s="54"/>
      <c r="J127" s="54"/>
      <c r="K127" s="53"/>
      <c r="L127" s="53"/>
      <c r="M127" s="53"/>
      <c r="N127" s="53"/>
      <c r="O127" s="53"/>
      <c r="P127" s="53"/>
    </row>
    <row r="129" spans="2:15" ht="16.5" thickBot="1" x14ac:dyDescent="0.3">
      <c r="F129" s="85">
        <v>2021</v>
      </c>
      <c r="G129" s="85">
        <f>F129+1</f>
        <v>2022</v>
      </c>
      <c r="H129" s="85">
        <f t="shared" ref="H129:O129" si="75">G129+1</f>
        <v>2023</v>
      </c>
      <c r="I129" s="85">
        <f t="shared" si="75"/>
        <v>2024</v>
      </c>
      <c r="J129" s="85">
        <f>I129+1</f>
        <v>2025</v>
      </c>
      <c r="K129" s="94">
        <f t="shared" si="75"/>
        <v>2026</v>
      </c>
      <c r="L129" s="94">
        <f t="shared" si="75"/>
        <v>2027</v>
      </c>
      <c r="M129" s="94">
        <f t="shared" si="75"/>
        <v>2028</v>
      </c>
      <c r="N129" s="94">
        <f t="shared" si="75"/>
        <v>2029</v>
      </c>
      <c r="O129" s="94">
        <f t="shared" si="75"/>
        <v>2030</v>
      </c>
    </row>
    <row r="132" spans="2:15" x14ac:dyDescent="0.25">
      <c r="B132" s="10" t="s">
        <v>437</v>
      </c>
      <c r="F132" s="17">
        <f>F88-F111-F114-F117</f>
        <v>27903876</v>
      </c>
      <c r="G132" s="17">
        <f t="shared" ref="G132:O132" si="76">G88-G111-G114-G117</f>
        <v>54220903</v>
      </c>
      <c r="H132" s="17">
        <f t="shared" si="76"/>
        <v>15571543</v>
      </c>
      <c r="I132" s="17">
        <f t="shared" si="76"/>
        <v>16304047</v>
      </c>
      <c r="J132" s="17">
        <f t="shared" si="76"/>
        <v>29538960</v>
      </c>
      <c r="K132" s="17">
        <f t="shared" si="76"/>
        <v>37504417.735758305</v>
      </c>
      <c r="L132" s="17">
        <f t="shared" si="76"/>
        <v>39074773.662688643</v>
      </c>
      <c r="M132" s="17">
        <f t="shared" si="76"/>
        <v>40394393.229319304</v>
      </c>
      <c r="N132" s="17">
        <f t="shared" si="76"/>
        <v>41434398.855786942</v>
      </c>
      <c r="O132" s="17">
        <f t="shared" si="76"/>
        <v>42173707.710978553</v>
      </c>
    </row>
    <row r="133" spans="2:15" x14ac:dyDescent="0.25">
      <c r="B133" s="1" t="s">
        <v>204</v>
      </c>
      <c r="F133" s="87">
        <f>F132/F88</f>
        <v>0.6580483271480666</v>
      </c>
      <c r="G133" s="87">
        <f t="shared" ref="G133:O133" si="77">G132/G88</f>
        <v>0.77499719171823378</v>
      </c>
      <c r="H133" s="87">
        <f t="shared" si="77"/>
        <v>0.50672530647172165</v>
      </c>
      <c r="I133" s="87">
        <f t="shared" si="77"/>
        <v>0.51721483911235611</v>
      </c>
      <c r="J133" s="87">
        <f t="shared" si="77"/>
        <v>0.57259855458165143</v>
      </c>
      <c r="K133" s="87">
        <f t="shared" si="77"/>
        <v>0.60210969936777625</v>
      </c>
      <c r="L133" s="87">
        <f t="shared" si="77"/>
        <v>0.60254028694193096</v>
      </c>
      <c r="M133" s="87">
        <f t="shared" si="77"/>
        <v>0.60341530328009496</v>
      </c>
      <c r="N133" s="87">
        <f t="shared" si="77"/>
        <v>0.60475888951153323</v>
      </c>
      <c r="O133" s="87">
        <f t="shared" si="77"/>
        <v>0.60660630106062186</v>
      </c>
    </row>
    <row r="134" spans="2:15" x14ac:dyDescent="0.25">
      <c r="B134" s="10" t="s">
        <v>439</v>
      </c>
      <c r="F134" s="101">
        <f>F132/F62</f>
        <v>15.858980392156862</v>
      </c>
      <c r="G134" s="101">
        <f t="shared" ref="G134:O134" si="78">G132/G62</f>
        <v>32.666474344813736</v>
      </c>
      <c r="H134" s="101">
        <f t="shared" si="78"/>
        <v>10.422719544846052</v>
      </c>
      <c r="I134" s="101">
        <f t="shared" si="78"/>
        <v>12.740854649648348</v>
      </c>
      <c r="J134" s="101">
        <f t="shared" si="78"/>
        <v>14.988055813953489</v>
      </c>
      <c r="K134" s="101">
        <f t="shared" si="78"/>
        <v>18.123548286684773</v>
      </c>
      <c r="L134" s="101">
        <f t="shared" si="78"/>
        <v>18.156157174308781</v>
      </c>
      <c r="M134" s="101">
        <f t="shared" si="78"/>
        <v>18.222641314124711</v>
      </c>
      <c r="N134" s="101">
        <f t="shared" si="78"/>
        <v>18.325300647664012</v>
      </c>
      <c r="O134" s="101">
        <f t="shared" si="78"/>
        <v>18.467600713956113</v>
      </c>
    </row>
    <row r="135" spans="2:15" x14ac:dyDescent="0.25"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</row>
    <row r="136" spans="2:15" x14ac:dyDescent="0.25">
      <c r="B136" s="1" t="s">
        <v>438</v>
      </c>
      <c r="F136" s="16">
        <f>'Historical Financials'!F26</f>
        <v>956084</v>
      </c>
      <c r="G136" s="16">
        <f>'Historical Financials'!G26</f>
        <v>1021026</v>
      </c>
      <c r="H136" s="16">
        <f>'Historical Financials'!H26</f>
        <v>1018262</v>
      </c>
      <c r="I136" s="16">
        <f>'Historical Financials'!I26</f>
        <v>1244416</v>
      </c>
      <c r="J136" s="16">
        <f>'Historical Financials'!J26</f>
        <v>1744917</v>
      </c>
      <c r="K136" s="16">
        <f>J136*(1+K137)</f>
        <v>1919408.7000000002</v>
      </c>
      <c r="L136" s="16">
        <f t="shared" ref="L136:O136" si="79">K136*(1+L137)</f>
        <v>2111349.5700000003</v>
      </c>
      <c r="M136" s="16">
        <f t="shared" si="79"/>
        <v>2322484.5270000007</v>
      </c>
      <c r="N136" s="16">
        <f t="shared" si="79"/>
        <v>2554732.979700001</v>
      </c>
      <c r="O136" s="16">
        <f t="shared" si="79"/>
        <v>2810206.2776700011</v>
      </c>
    </row>
    <row r="137" spans="2:15" x14ac:dyDescent="0.25">
      <c r="B137" s="1" t="s">
        <v>440</v>
      </c>
      <c r="F137" s="16"/>
      <c r="G137" s="87">
        <f>(G136/F136)-1</f>
        <v>6.7924994038180753E-2</v>
      </c>
      <c r="H137" s="87">
        <f t="shared" ref="H137:J137" si="80">(H136/G136)-1</f>
        <v>-2.7070809166466203E-3</v>
      </c>
      <c r="I137" s="87">
        <f t="shared" si="80"/>
        <v>0.22209804549320311</v>
      </c>
      <c r="J137" s="87">
        <f t="shared" si="80"/>
        <v>0.4021974966570665</v>
      </c>
      <c r="K137" s="86">
        <v>0.1</v>
      </c>
      <c r="L137" s="86">
        <f>K137</f>
        <v>0.1</v>
      </c>
      <c r="M137" s="86">
        <f t="shared" ref="M137:O137" si="81">L137</f>
        <v>0.1</v>
      </c>
      <c r="N137" s="86">
        <f t="shared" si="81"/>
        <v>0.1</v>
      </c>
      <c r="O137" s="86">
        <f t="shared" si="81"/>
        <v>0.1</v>
      </c>
    </row>
    <row r="139" spans="2:15" x14ac:dyDescent="0.25">
      <c r="B139" s="10" t="s">
        <v>31</v>
      </c>
      <c r="F139" s="17">
        <f>F132-F136</f>
        <v>26947792</v>
      </c>
      <c r="G139" s="17">
        <f t="shared" ref="G139:O139" si="82">G132-G136</f>
        <v>53199877</v>
      </c>
      <c r="H139" s="17">
        <f t="shared" si="82"/>
        <v>14553281</v>
      </c>
      <c r="I139" s="17">
        <f t="shared" si="82"/>
        <v>15059631</v>
      </c>
      <c r="J139" s="17">
        <f t="shared" si="82"/>
        <v>27794043</v>
      </c>
      <c r="K139" s="17">
        <f t="shared" si="82"/>
        <v>35585009.035758302</v>
      </c>
      <c r="L139" s="17">
        <f t="shared" si="82"/>
        <v>36963424.092688642</v>
      </c>
      <c r="M139" s="17">
        <f t="shared" si="82"/>
        <v>38071908.702319302</v>
      </c>
      <c r="N139" s="17">
        <f t="shared" si="82"/>
        <v>38879665.876086943</v>
      </c>
      <c r="O139" s="17">
        <f t="shared" si="82"/>
        <v>39363501.433308549</v>
      </c>
    </row>
    <row r="140" spans="2:15" x14ac:dyDescent="0.25">
      <c r="B140" s="1" t="s">
        <v>203</v>
      </c>
      <c r="F140" s="87">
        <f>F139/F88</f>
        <v>0.63550129902863861</v>
      </c>
      <c r="G140" s="87">
        <f t="shared" ref="G140:O140" si="83">G139/G88</f>
        <v>0.76040333143760919</v>
      </c>
      <c r="H140" s="87">
        <f t="shared" si="83"/>
        <v>0.47358927595640865</v>
      </c>
      <c r="I140" s="87">
        <f t="shared" si="83"/>
        <v>0.47773811157171281</v>
      </c>
      <c r="J140" s="87">
        <f t="shared" si="83"/>
        <v>0.53877417646999981</v>
      </c>
      <c r="K140" s="87">
        <f t="shared" si="83"/>
        <v>0.57129480701393476</v>
      </c>
      <c r="L140" s="87">
        <f t="shared" si="83"/>
        <v>0.56998288336681358</v>
      </c>
      <c r="M140" s="87">
        <f t="shared" si="83"/>
        <v>0.56872180764402624</v>
      </c>
      <c r="N140" s="87">
        <f t="shared" si="83"/>
        <v>0.5674710918731688</v>
      </c>
      <c r="O140" s="87">
        <f t="shared" si="83"/>
        <v>0.56618564734439714</v>
      </c>
    </row>
    <row r="142" spans="2:15" x14ac:dyDescent="0.25">
      <c r="B142" s="1" t="s">
        <v>417</v>
      </c>
      <c r="F142" s="16">
        <f>'Historical Financials'!F20</f>
        <v>6627016</v>
      </c>
      <c r="G142" s="16">
        <f>'Historical Financials'!G20</f>
        <v>6438511</v>
      </c>
      <c r="H142" s="16">
        <f>'Historical Financials'!H20</f>
        <v>7685084</v>
      </c>
      <c r="I142" s="16">
        <f>'Historical Financials'!I20</f>
        <v>10185119</v>
      </c>
      <c r="J142" s="16">
        <f>'Historical Financials'!J20</f>
        <v>12170320</v>
      </c>
      <c r="K142" s="16">
        <f>K121*K62</f>
        <v>12778836</v>
      </c>
      <c r="L142" s="16">
        <f t="shared" ref="L142:O142" si="84">L121*L62</f>
        <v>13289989.440000001</v>
      </c>
      <c r="M142" s="16">
        <f t="shared" si="84"/>
        <v>13688689.123200001</v>
      </c>
      <c r="N142" s="16">
        <f t="shared" si="84"/>
        <v>13962462.905664004</v>
      </c>
      <c r="O142" s="16">
        <f t="shared" si="84"/>
        <v>14102087.534720644</v>
      </c>
    </row>
    <row r="143" spans="2:15" x14ac:dyDescent="0.25">
      <c r="B143" s="1" t="s">
        <v>441</v>
      </c>
      <c r="G143" s="87">
        <f>(G142/F142)-1</f>
        <v>-2.8444929060077673E-2</v>
      </c>
      <c r="H143" s="87">
        <f t="shared" ref="H143:O143" si="85">(H142/G142)-1</f>
        <v>0.19361200128414779</v>
      </c>
      <c r="I143" s="87">
        <f t="shared" si="85"/>
        <v>0.32531004215438641</v>
      </c>
      <c r="J143" s="87">
        <f t="shared" si="85"/>
        <v>0.1949119102093948</v>
      </c>
      <c r="K143" s="87">
        <f t="shared" si="85"/>
        <v>5.0000000000000044E-2</v>
      </c>
      <c r="L143" s="87">
        <f t="shared" si="85"/>
        <v>4.0000000000000036E-2</v>
      </c>
      <c r="M143" s="87">
        <f t="shared" si="85"/>
        <v>3.0000000000000027E-2</v>
      </c>
      <c r="N143" s="87">
        <f t="shared" si="85"/>
        <v>2.000000000000024E-2</v>
      </c>
      <c r="O143" s="87">
        <f t="shared" si="85"/>
        <v>1.0000000000000009E-2</v>
      </c>
    </row>
    <row r="145" spans="2:15" x14ac:dyDescent="0.25">
      <c r="B145" s="10" t="s">
        <v>430</v>
      </c>
      <c r="F145" s="17">
        <f>F139-F142</f>
        <v>20320776</v>
      </c>
      <c r="G145" s="17">
        <f t="shared" ref="G145:O145" si="86">G139-G142</f>
        <v>46761366</v>
      </c>
      <c r="H145" s="17">
        <f t="shared" si="86"/>
        <v>6868197</v>
      </c>
      <c r="I145" s="17">
        <f t="shared" si="86"/>
        <v>4874512</v>
      </c>
      <c r="J145" s="17">
        <f t="shared" si="86"/>
        <v>15623723</v>
      </c>
      <c r="K145" s="17">
        <f t="shared" si="86"/>
        <v>22806173.035758302</v>
      </c>
      <c r="L145" s="17">
        <f t="shared" si="86"/>
        <v>23673434.652688641</v>
      </c>
      <c r="M145" s="17">
        <f t="shared" si="86"/>
        <v>24383219.579119302</v>
      </c>
      <c r="N145" s="17">
        <f t="shared" si="86"/>
        <v>24917202.970422938</v>
      </c>
      <c r="O145" s="17">
        <f t="shared" si="86"/>
        <v>25261413.898587905</v>
      </c>
    </row>
    <row r="146" spans="2:15" x14ac:dyDescent="0.25">
      <c r="B146" s="1" t="s">
        <v>431</v>
      </c>
      <c r="F146" s="87">
        <f>F145/F88</f>
        <v>0.4792184660349903</v>
      </c>
      <c r="G146" s="87">
        <f t="shared" ref="G146:O146" si="87">G145/G88</f>
        <v>0.66837557705205497</v>
      </c>
      <c r="H146" s="87">
        <f t="shared" si="87"/>
        <v>0.2235031704779134</v>
      </c>
      <c r="I146" s="87">
        <f t="shared" si="87"/>
        <v>0.15463460942128351</v>
      </c>
      <c r="J146" s="87">
        <f t="shared" si="87"/>
        <v>0.30285836762648727</v>
      </c>
      <c r="K146" s="87">
        <f t="shared" si="87"/>
        <v>0.36613867963606372</v>
      </c>
      <c r="L146" s="87">
        <f t="shared" si="87"/>
        <v>0.36504877115008172</v>
      </c>
      <c r="M146" s="87">
        <f t="shared" si="87"/>
        <v>0.3642388624023245</v>
      </c>
      <c r="N146" s="87">
        <f t="shared" si="87"/>
        <v>0.36368091282255571</v>
      </c>
      <c r="O146" s="87">
        <f t="shared" si="87"/>
        <v>0.36334801174227221</v>
      </c>
    </row>
    <row r="148" spans="2:15" x14ac:dyDescent="0.25">
      <c r="B148" s="1" t="s">
        <v>39</v>
      </c>
      <c r="F148" s="16">
        <f>ABS('Historical Financials'!F39)</f>
        <v>101382</v>
      </c>
      <c r="G148" s="16">
        <f>ABS('Historical Financials'!G39)</f>
        <v>50782</v>
      </c>
      <c r="H148" s="16">
        <f>ABS('Historical Financials'!H39)</f>
        <v>80379</v>
      </c>
      <c r="I148" s="16">
        <f>ABS('Historical Financials'!I39)</f>
        <v>46400</v>
      </c>
      <c r="J148" s="16">
        <f>ABS('Historical Financials'!J39)</f>
        <v>624160</v>
      </c>
      <c r="K148" s="16">
        <f>J148</f>
        <v>624160</v>
      </c>
      <c r="L148" s="16">
        <f t="shared" ref="L148:O148" si="88">K148</f>
        <v>624160</v>
      </c>
      <c r="M148" s="16">
        <f t="shared" si="88"/>
        <v>624160</v>
      </c>
      <c r="N148" s="16">
        <f t="shared" si="88"/>
        <v>624160</v>
      </c>
      <c r="O148" s="16">
        <f t="shared" si="88"/>
        <v>624160</v>
      </c>
    </row>
    <row r="149" spans="2:15" x14ac:dyDescent="0.25">
      <c r="F149" s="1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2:15" x14ac:dyDescent="0.25">
      <c r="B150" s="10" t="s">
        <v>432</v>
      </c>
      <c r="F150" s="17">
        <f>F145-F148</f>
        <v>20219394</v>
      </c>
      <c r="G150" s="17">
        <f t="shared" ref="G150:O150" si="89">G145-G148</f>
        <v>46710584</v>
      </c>
      <c r="H150" s="17">
        <f t="shared" si="89"/>
        <v>6787818</v>
      </c>
      <c r="I150" s="17">
        <f t="shared" si="89"/>
        <v>4828112</v>
      </c>
      <c r="J150" s="17">
        <f t="shared" si="89"/>
        <v>14999563</v>
      </c>
      <c r="K150" s="17">
        <f t="shared" si="89"/>
        <v>22182013.035758302</v>
      </c>
      <c r="L150" s="17">
        <f t="shared" si="89"/>
        <v>23049274.652688641</v>
      </c>
      <c r="M150" s="17">
        <f t="shared" si="89"/>
        <v>23759059.579119302</v>
      </c>
      <c r="N150" s="17">
        <f t="shared" si="89"/>
        <v>24293042.970422938</v>
      </c>
      <c r="O150" s="17">
        <f t="shared" si="89"/>
        <v>24637253.898587905</v>
      </c>
    </row>
    <row r="151" spans="2:15" x14ac:dyDescent="0.25">
      <c r="F151" s="16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2:15" x14ac:dyDescent="0.25">
      <c r="B152" s="1" t="s">
        <v>433</v>
      </c>
      <c r="F152" s="16">
        <f>'Historical Financials'!F45</f>
        <v>4440508</v>
      </c>
      <c r="G152" s="16">
        <f>'Historical Financials'!G45</f>
        <v>12157487</v>
      </c>
      <c r="H152" s="16">
        <f>'Historical Financials'!H45</f>
        <v>3200447</v>
      </c>
      <c r="I152" s="16">
        <f>'Historical Financials'!I45</f>
        <v>1629093</v>
      </c>
      <c r="J152" s="16">
        <f>'Historical Financials'!J45</f>
        <v>362731</v>
      </c>
      <c r="K152" s="16">
        <f>K150*K153</f>
        <v>4658222.7375092432</v>
      </c>
      <c r="L152" s="16">
        <f t="shared" ref="L152:O152" si="90">L150*L153</f>
        <v>4840347.6770646144</v>
      </c>
      <c r="M152" s="16">
        <f t="shared" si="90"/>
        <v>4989402.5116150538</v>
      </c>
      <c r="N152" s="16">
        <f t="shared" si="90"/>
        <v>5101539.0237888172</v>
      </c>
      <c r="O152" s="16">
        <f t="shared" si="90"/>
        <v>5173823.3187034596</v>
      </c>
    </row>
    <row r="153" spans="2:15" x14ac:dyDescent="0.25">
      <c r="B153" s="1" t="s">
        <v>442</v>
      </c>
      <c r="F153" s="87">
        <f>F152/F150</f>
        <v>0.21961627534435502</v>
      </c>
      <c r="G153" s="87">
        <f t="shared" ref="G153:J153" si="91">G152/G150</f>
        <v>0.26027263970837961</v>
      </c>
      <c r="H153" s="87">
        <f t="shared" si="91"/>
        <v>0.47149864654591506</v>
      </c>
      <c r="I153" s="87">
        <f t="shared" si="91"/>
        <v>0.33741822890604029</v>
      </c>
      <c r="J153" s="87">
        <f t="shared" si="91"/>
        <v>2.418277119140071E-2</v>
      </c>
      <c r="K153" s="87">
        <v>0.21</v>
      </c>
      <c r="L153" s="87">
        <v>0.21</v>
      </c>
      <c r="M153" s="87">
        <v>0.21</v>
      </c>
      <c r="N153" s="87">
        <v>0.21</v>
      </c>
      <c r="O153" s="87">
        <v>0.21</v>
      </c>
    </row>
    <row r="154" spans="2:15" x14ac:dyDescent="0.25">
      <c r="F154" s="16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2:15" x14ac:dyDescent="0.25">
      <c r="B155" s="10" t="s">
        <v>43</v>
      </c>
      <c r="F155" s="17">
        <f>F150-F152</f>
        <v>15778886</v>
      </c>
      <c r="G155" s="17">
        <f t="shared" ref="G155:O155" si="92">G150-G152</f>
        <v>34553097</v>
      </c>
      <c r="H155" s="17">
        <f t="shared" si="92"/>
        <v>3587371</v>
      </c>
      <c r="I155" s="17">
        <f t="shared" si="92"/>
        <v>3199019</v>
      </c>
      <c r="J155" s="17">
        <f t="shared" si="92"/>
        <v>14636832</v>
      </c>
      <c r="K155" s="17">
        <f t="shared" si="92"/>
        <v>17523790.298249058</v>
      </c>
      <c r="L155" s="17">
        <f t="shared" si="92"/>
        <v>18208926.975624025</v>
      </c>
      <c r="M155" s="17">
        <f t="shared" si="92"/>
        <v>18769657.06750425</v>
      </c>
      <c r="N155" s="17">
        <f t="shared" si="92"/>
        <v>19191503.946634121</v>
      </c>
      <c r="O155" s="17">
        <f t="shared" si="92"/>
        <v>19463430.579884447</v>
      </c>
    </row>
    <row r="156" spans="2:15" x14ac:dyDescent="0.25">
      <c r="B156" s="1" t="s">
        <v>434</v>
      </c>
      <c r="F156" s="87">
        <f>F155/F88</f>
        <v>0.37210850336921109</v>
      </c>
      <c r="G156" s="87">
        <f t="shared" ref="G156:O156" si="93">G155/G88</f>
        <v>0.49387877476270964</v>
      </c>
      <c r="H156" s="87">
        <f t="shared" si="93"/>
        <v>0.11673934107896478</v>
      </c>
      <c r="I156" s="87">
        <f t="shared" si="93"/>
        <v>0.10148278506571835</v>
      </c>
      <c r="J156" s="87">
        <f t="shared" si="93"/>
        <v>0.28372795951023538</v>
      </c>
      <c r="K156" s="87">
        <f t="shared" si="93"/>
        <v>0.28133336671436154</v>
      </c>
      <c r="L156" s="87">
        <f t="shared" si="93"/>
        <v>0.28078504509096208</v>
      </c>
      <c r="M156" s="87">
        <f t="shared" si="93"/>
        <v>0.28038292957030536</v>
      </c>
      <c r="N156" s="87">
        <f t="shared" si="93"/>
        <v>0.28011104143729287</v>
      </c>
      <c r="O156" s="87">
        <f t="shared" si="93"/>
        <v>0.27995261196682558</v>
      </c>
    </row>
    <row r="157" spans="2:15" x14ac:dyDescent="0.25">
      <c r="F157" s="16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2:15" x14ac:dyDescent="0.25">
      <c r="B158" s="1" t="s">
        <v>443</v>
      </c>
      <c r="F158" s="16">
        <f>'Historical Financials'!F243</f>
        <v>23857102</v>
      </c>
      <c r="G158" s="16">
        <f>'Historical Financials'!G243</f>
        <v>23406189</v>
      </c>
      <c r="H158" s="16">
        <f>'Historical Financials'!H243</f>
        <v>22511647</v>
      </c>
      <c r="I158" s="16">
        <f>'Historical Financials'!I243</f>
        <v>21930277</v>
      </c>
      <c r="J158" s="16">
        <f>'Historical Financials'!J243</f>
        <v>23020672</v>
      </c>
      <c r="K158" s="15">
        <v>31021772</v>
      </c>
      <c r="L158" s="15">
        <f>K158+200000</f>
        <v>31221772</v>
      </c>
      <c r="M158" s="15">
        <f t="shared" ref="M158:O158" si="94">L158+200000</f>
        <v>31421772</v>
      </c>
      <c r="N158" s="15">
        <f t="shared" si="94"/>
        <v>31621772</v>
      </c>
      <c r="O158" s="15">
        <f t="shared" si="94"/>
        <v>31821772</v>
      </c>
    </row>
    <row r="159" spans="2:15" x14ac:dyDescent="0.25">
      <c r="B159" s="10" t="s">
        <v>436</v>
      </c>
      <c r="C159" s="10"/>
      <c r="D159" s="10"/>
      <c r="E159" s="10"/>
      <c r="F159" s="101">
        <f>F155/F158</f>
        <v>0.66139156382028297</v>
      </c>
      <c r="G159" s="101">
        <f t="shared" ref="G159:O159" si="95">G155/G158</f>
        <v>1.4762376309958021</v>
      </c>
      <c r="H159" s="101">
        <f t="shared" si="95"/>
        <v>0.15935622124849416</v>
      </c>
      <c r="I159" s="101">
        <f t="shared" si="95"/>
        <v>0.14587225688029384</v>
      </c>
      <c r="J159" s="101">
        <f t="shared" si="95"/>
        <v>0.63581254274419097</v>
      </c>
      <c r="K159" s="101">
        <f t="shared" si="95"/>
        <v>0.56488682523516254</v>
      </c>
      <c r="L159" s="101">
        <f t="shared" si="95"/>
        <v>0.58321247671733767</v>
      </c>
      <c r="M159" s="101">
        <f t="shared" si="95"/>
        <v>0.59734559424287881</v>
      </c>
      <c r="N159" s="101">
        <f t="shared" si="95"/>
        <v>0.60690792238442937</v>
      </c>
      <c r="O159" s="101">
        <f t="shared" si="95"/>
        <v>0.61163880439733043</v>
      </c>
    </row>
    <row r="160" spans="2:15" x14ac:dyDescent="0.25">
      <c r="F160" s="16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2:16" x14ac:dyDescent="0.25">
      <c r="F161" s="16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2:16" ht="23.25" x14ac:dyDescent="0.35">
      <c r="B162" s="46" t="s">
        <v>444</v>
      </c>
      <c r="C162" s="53"/>
      <c r="D162" s="53"/>
      <c r="E162" s="53"/>
      <c r="F162" s="54"/>
      <c r="G162" s="54"/>
      <c r="H162" s="54"/>
      <c r="I162" s="54"/>
      <c r="J162" s="54"/>
      <c r="K162" s="53"/>
      <c r="L162" s="53"/>
      <c r="M162" s="53"/>
      <c r="N162" s="53"/>
      <c r="O162" s="53"/>
      <c r="P162" s="53"/>
    </row>
    <row r="164" spans="2:16" ht="16.5" thickBot="1" x14ac:dyDescent="0.3">
      <c r="F164" s="85">
        <v>2021</v>
      </c>
      <c r="G164" s="85">
        <f>F164+1</f>
        <v>2022</v>
      </c>
      <c r="H164" s="85">
        <f t="shared" ref="H164:I164" si="96">G164+1</f>
        <v>2023</v>
      </c>
      <c r="I164" s="85">
        <f t="shared" si="96"/>
        <v>2024</v>
      </c>
      <c r="J164" s="85">
        <f>I164+1</f>
        <v>2025</v>
      </c>
      <c r="K164" s="94">
        <f t="shared" ref="K164:O164" si="97">J164+1</f>
        <v>2026</v>
      </c>
      <c r="L164" s="94">
        <f t="shared" si="97"/>
        <v>2027</v>
      </c>
      <c r="M164" s="94">
        <f t="shared" si="97"/>
        <v>2028</v>
      </c>
      <c r="N164" s="94">
        <f t="shared" si="97"/>
        <v>2029</v>
      </c>
      <c r="O164" s="94">
        <f t="shared" si="97"/>
        <v>2030</v>
      </c>
    </row>
    <row r="166" spans="2:16" x14ac:dyDescent="0.25">
      <c r="B166" s="10" t="s">
        <v>43</v>
      </c>
      <c r="C166" s="10"/>
      <c r="D166" s="10"/>
      <c r="E166" s="10"/>
      <c r="F166" s="17">
        <f>F155</f>
        <v>15778886</v>
      </c>
      <c r="G166" s="17">
        <f t="shared" ref="G166:O166" si="98">G155</f>
        <v>34553097</v>
      </c>
      <c r="H166" s="17">
        <f t="shared" si="98"/>
        <v>3587371</v>
      </c>
      <c r="I166" s="17">
        <f t="shared" si="98"/>
        <v>3199019</v>
      </c>
      <c r="J166" s="17">
        <f t="shared" si="98"/>
        <v>14636832</v>
      </c>
      <c r="K166" s="17">
        <f t="shared" si="98"/>
        <v>17523790.298249058</v>
      </c>
      <c r="L166" s="17">
        <f t="shared" si="98"/>
        <v>18208926.975624025</v>
      </c>
      <c r="M166" s="17">
        <f t="shared" si="98"/>
        <v>18769657.06750425</v>
      </c>
      <c r="N166" s="17">
        <f t="shared" si="98"/>
        <v>19191503.946634121</v>
      </c>
      <c r="O166" s="17">
        <f t="shared" si="98"/>
        <v>19463430.579884447</v>
      </c>
    </row>
    <row r="167" spans="2:16" x14ac:dyDescent="0.25">
      <c r="F167" s="16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2:16" x14ac:dyDescent="0.25">
      <c r="B168" s="1" t="s">
        <v>27</v>
      </c>
      <c r="F168" s="16">
        <f>F142</f>
        <v>6627016</v>
      </c>
      <c r="G168" s="16">
        <f t="shared" ref="G168:O168" si="99">G142</f>
        <v>6438511</v>
      </c>
      <c r="H168" s="16">
        <f t="shared" si="99"/>
        <v>7685084</v>
      </c>
      <c r="I168" s="16">
        <f t="shared" si="99"/>
        <v>10185119</v>
      </c>
      <c r="J168" s="16">
        <f t="shared" si="99"/>
        <v>12170320</v>
      </c>
      <c r="K168" s="16">
        <f t="shared" si="99"/>
        <v>12778836</v>
      </c>
      <c r="L168" s="16">
        <f t="shared" si="99"/>
        <v>13289989.440000001</v>
      </c>
      <c r="M168" s="16">
        <f t="shared" si="99"/>
        <v>13688689.123200001</v>
      </c>
      <c r="N168" s="16">
        <f t="shared" si="99"/>
        <v>13962462.905664004</v>
      </c>
      <c r="O168" s="16">
        <f t="shared" si="99"/>
        <v>14102087.534720644</v>
      </c>
    </row>
    <row r="169" spans="2:16" x14ac:dyDescent="0.25">
      <c r="B169" s="1" t="s">
        <v>57</v>
      </c>
      <c r="F169" s="16">
        <f>F136</f>
        <v>956084</v>
      </c>
      <c r="G169" s="16">
        <f t="shared" ref="G169:O169" si="100">G136</f>
        <v>1021026</v>
      </c>
      <c r="H169" s="16">
        <f t="shared" si="100"/>
        <v>1018262</v>
      </c>
      <c r="I169" s="16">
        <f t="shared" si="100"/>
        <v>1244416</v>
      </c>
      <c r="J169" s="16">
        <f t="shared" si="100"/>
        <v>1744917</v>
      </c>
      <c r="K169" s="16">
        <f t="shared" si="100"/>
        <v>1919408.7000000002</v>
      </c>
      <c r="L169" s="16">
        <f t="shared" si="100"/>
        <v>2111349.5700000003</v>
      </c>
      <c r="M169" s="16">
        <f t="shared" si="100"/>
        <v>2322484.5270000007</v>
      </c>
      <c r="N169" s="16">
        <f t="shared" si="100"/>
        <v>2554732.979700001</v>
      </c>
      <c r="O169" s="16">
        <f t="shared" si="100"/>
        <v>2810206.2776700011</v>
      </c>
    </row>
    <row r="170" spans="2:16" x14ac:dyDescent="0.25">
      <c r="B170" s="1" t="s">
        <v>445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2" spans="2:16" x14ac:dyDescent="0.25">
      <c r="B172" s="10" t="s">
        <v>446</v>
      </c>
      <c r="C172" s="10"/>
      <c r="D172" s="10"/>
      <c r="E172" s="10"/>
      <c r="F172" s="17">
        <f>F166+SUM(F168:F170)</f>
        <v>23361986</v>
      </c>
      <c r="G172" s="17">
        <f t="shared" ref="G172:O172" si="101">G166+SUM(G168:G170)</f>
        <v>42012634</v>
      </c>
      <c r="H172" s="17">
        <f t="shared" si="101"/>
        <v>12290717</v>
      </c>
      <c r="I172" s="17">
        <f t="shared" si="101"/>
        <v>14628554</v>
      </c>
      <c r="J172" s="17">
        <f t="shared" si="101"/>
        <v>28552069</v>
      </c>
      <c r="K172" s="17">
        <f t="shared" si="101"/>
        <v>32222034.998249058</v>
      </c>
      <c r="L172" s="17">
        <f t="shared" si="101"/>
        <v>33610265.98562403</v>
      </c>
      <c r="M172" s="17">
        <f t="shared" si="101"/>
        <v>34780830.717704251</v>
      </c>
      <c r="N172" s="17">
        <f t="shared" si="101"/>
        <v>35708699.831998125</v>
      </c>
      <c r="O172" s="17">
        <f t="shared" si="101"/>
        <v>36375724.392275095</v>
      </c>
    </row>
    <row r="173" spans="2:16" x14ac:dyDescent="0.25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2:16" x14ac:dyDescent="0.25">
      <c r="B174" s="10" t="s">
        <v>85</v>
      </c>
      <c r="C174" s="10"/>
      <c r="D174" s="10"/>
      <c r="E174" s="10"/>
      <c r="F174" s="17">
        <f>'Historical Financials'!F93*-1</f>
        <v>4888014</v>
      </c>
      <c r="G174" s="17">
        <f>'Historical Financials'!G93*-1</f>
        <v>8070003</v>
      </c>
      <c r="H174" s="17">
        <f>'Historical Financials'!H93*-1</f>
        <v>20459883</v>
      </c>
      <c r="I174" s="17">
        <f>'Historical Financials'!I93*-1</f>
        <v>35729805</v>
      </c>
      <c r="J174" s="17">
        <f>'Historical Financials'!J93*-1</f>
        <v>14387896</v>
      </c>
      <c r="K174" s="17">
        <f>K175*K62</f>
        <v>20693750</v>
      </c>
      <c r="L174" s="17">
        <f t="shared" ref="L174:O174" si="102">L175*L62</f>
        <v>21521500</v>
      </c>
      <c r="M174" s="17">
        <f t="shared" si="102"/>
        <v>22167145</v>
      </c>
      <c r="N174" s="17">
        <f t="shared" si="102"/>
        <v>22610487.900000006</v>
      </c>
      <c r="O174" s="17">
        <f t="shared" si="102"/>
        <v>22836592.779000007</v>
      </c>
    </row>
    <row r="175" spans="2:16" x14ac:dyDescent="0.25">
      <c r="B175" s="1" t="s">
        <v>447</v>
      </c>
      <c r="F175" s="67">
        <f>F174/F62</f>
        <v>2.7780699062233589</v>
      </c>
      <c r="G175" s="67">
        <f t="shared" ref="G175:J175" si="103">G174/G62</f>
        <v>4.8619357365197313</v>
      </c>
      <c r="H175" s="67">
        <f t="shared" si="103"/>
        <v>13.694700803212852</v>
      </c>
      <c r="I175" s="67">
        <f t="shared" si="103"/>
        <v>27.921181297212819</v>
      </c>
      <c r="J175" s="67">
        <f t="shared" si="103"/>
        <v>7.3004123467230446</v>
      </c>
      <c r="K175" s="67">
        <v>10</v>
      </c>
      <c r="L175" s="67">
        <v>10</v>
      </c>
      <c r="M175" s="67">
        <v>10</v>
      </c>
      <c r="N175" s="67">
        <v>10</v>
      </c>
      <c r="O175" s="67">
        <v>10</v>
      </c>
    </row>
    <row r="177" spans="2:16" x14ac:dyDescent="0.25">
      <c r="B177" s="10" t="s">
        <v>270</v>
      </c>
      <c r="C177" s="10"/>
      <c r="D177" s="10"/>
      <c r="E177" s="10"/>
      <c r="F177" s="17">
        <f>F172-F174</f>
        <v>18473972</v>
      </c>
      <c r="G177" s="17">
        <f t="shared" ref="G177:O177" si="104">G172-G174</f>
        <v>33942631</v>
      </c>
      <c r="H177" s="17">
        <f t="shared" si="104"/>
        <v>-8169166</v>
      </c>
      <c r="I177" s="17">
        <f t="shared" si="104"/>
        <v>-21101251</v>
      </c>
      <c r="J177" s="17">
        <f t="shared" si="104"/>
        <v>14164173</v>
      </c>
      <c r="K177" s="17">
        <f t="shared" si="104"/>
        <v>11528284.998249058</v>
      </c>
      <c r="L177" s="17">
        <f t="shared" si="104"/>
        <v>12088765.98562403</v>
      </c>
      <c r="M177" s="17">
        <f t="shared" si="104"/>
        <v>12613685.717704251</v>
      </c>
      <c r="N177" s="17">
        <f t="shared" si="104"/>
        <v>13098211.931998119</v>
      </c>
      <c r="O177" s="17">
        <f t="shared" si="104"/>
        <v>13539131.613275088</v>
      </c>
    </row>
    <row r="178" spans="2:16" x14ac:dyDescent="0.25">
      <c r="B178" s="1" t="s">
        <v>448</v>
      </c>
      <c r="F178" s="87">
        <f>F177/F88</f>
        <v>0.43566586843993366</v>
      </c>
      <c r="G178" s="87">
        <f t="shared" ref="G178:O178" si="105">G177/G88</f>
        <v>0.48515318353381659</v>
      </c>
      <c r="H178" s="87">
        <f t="shared" si="105"/>
        <v>-0.26583898236471287</v>
      </c>
      <c r="I178" s="87">
        <f t="shared" si="105"/>
        <v>-0.66939699947101738</v>
      </c>
      <c r="J178" s="87">
        <f t="shared" si="105"/>
        <v>0.27456569177264378</v>
      </c>
      <c r="K178" s="87">
        <f t="shared" si="105"/>
        <v>0.18507932221285128</v>
      </c>
      <c r="L178" s="87">
        <f t="shared" si="105"/>
        <v>0.18641102284124059</v>
      </c>
      <c r="M178" s="87">
        <f t="shared" si="105"/>
        <v>0.18842444171939782</v>
      </c>
      <c r="N178" s="87">
        <f t="shared" si="105"/>
        <v>0.19117593886548137</v>
      </c>
      <c r="O178" s="87">
        <f t="shared" si="105"/>
        <v>0.19474034874490687</v>
      </c>
    </row>
    <row r="180" spans="2:16" x14ac:dyDescent="0.25">
      <c r="B180" s="1" t="s">
        <v>443</v>
      </c>
      <c r="F180" s="16">
        <f>F158</f>
        <v>23857102</v>
      </c>
      <c r="G180" s="16">
        <f t="shared" ref="G180:O180" si="106">G158</f>
        <v>23406189</v>
      </c>
      <c r="H180" s="16">
        <f t="shared" si="106"/>
        <v>22511647</v>
      </c>
      <c r="I180" s="16">
        <f t="shared" si="106"/>
        <v>21930277</v>
      </c>
      <c r="J180" s="16">
        <f t="shared" si="106"/>
        <v>23020672</v>
      </c>
      <c r="K180" s="16">
        <f t="shared" si="106"/>
        <v>31021772</v>
      </c>
      <c r="L180" s="16">
        <f t="shared" si="106"/>
        <v>31221772</v>
      </c>
      <c r="M180" s="16">
        <f t="shared" si="106"/>
        <v>31421772</v>
      </c>
      <c r="N180" s="16">
        <f t="shared" si="106"/>
        <v>31621772</v>
      </c>
      <c r="O180" s="16">
        <f t="shared" si="106"/>
        <v>31821772</v>
      </c>
    </row>
    <row r="181" spans="2:16" x14ac:dyDescent="0.25">
      <c r="B181" s="10" t="s">
        <v>200</v>
      </c>
      <c r="C181" s="10"/>
      <c r="D181" s="10"/>
      <c r="E181" s="10"/>
      <c r="F181" s="99">
        <f>F177/F180</f>
        <v>0.77435943393292284</v>
      </c>
      <c r="G181" s="99">
        <f t="shared" ref="G181:O181" si="107">G177/G180</f>
        <v>1.4501562385914255</v>
      </c>
      <c r="H181" s="99">
        <f t="shared" si="107"/>
        <v>-0.36288619841986686</v>
      </c>
      <c r="I181" s="99">
        <f t="shared" si="107"/>
        <v>-0.9621971943172446</v>
      </c>
      <c r="J181" s="99">
        <f t="shared" si="107"/>
        <v>0.61528060518824124</v>
      </c>
      <c r="K181" s="99">
        <f t="shared" si="107"/>
        <v>0.3716191647030691</v>
      </c>
      <c r="L181" s="99">
        <f t="shared" si="107"/>
        <v>0.38719025895211939</v>
      </c>
      <c r="M181" s="99">
        <f t="shared" si="107"/>
        <v>0.40143139342059547</v>
      </c>
      <c r="N181" s="99">
        <f t="shared" si="107"/>
        <v>0.41421498871088308</v>
      </c>
      <c r="O181" s="99">
        <f t="shared" si="107"/>
        <v>0.42546755766068239</v>
      </c>
    </row>
    <row r="184" spans="2:16" ht="23.25" x14ac:dyDescent="0.35">
      <c r="B184" s="46" t="s">
        <v>480</v>
      </c>
      <c r="C184" s="53"/>
      <c r="D184" s="53"/>
      <c r="E184" s="53"/>
      <c r="F184" s="54"/>
      <c r="G184" s="54"/>
      <c r="H184" s="54"/>
      <c r="I184" s="54"/>
      <c r="J184" s="54"/>
      <c r="K184" s="53"/>
      <c r="L184" s="53"/>
      <c r="M184" s="53"/>
      <c r="N184" s="53"/>
      <c r="O184" s="53"/>
      <c r="P184" s="53"/>
    </row>
    <row r="186" spans="2:16" x14ac:dyDescent="0.25">
      <c r="B186" s="1" t="s">
        <v>479</v>
      </c>
    </row>
    <row r="187" spans="2:16" x14ac:dyDescent="0.25">
      <c r="B187" s="1" t="s">
        <v>32</v>
      </c>
      <c r="E187" s="1" t="s">
        <v>31</v>
      </c>
      <c r="H187" s="1" t="s">
        <v>461</v>
      </c>
      <c r="K187" s="1" t="s">
        <v>492</v>
      </c>
    </row>
    <row r="188" spans="2:16" x14ac:dyDescent="0.25">
      <c r="B188" s="44" t="s">
        <v>390</v>
      </c>
      <c r="C188" s="16">
        <f>$K$132</f>
        <v>37504417.735758305</v>
      </c>
      <c r="E188" s="44" t="s">
        <v>390</v>
      </c>
      <c r="F188" s="16">
        <f>K139</f>
        <v>35585009.035758302</v>
      </c>
      <c r="H188" s="44" t="s">
        <v>390</v>
      </c>
      <c r="I188" s="16">
        <f>K150</f>
        <v>22182013.035758302</v>
      </c>
      <c r="K188" s="44" t="s">
        <v>390</v>
      </c>
      <c r="L188" s="16">
        <f>K177</f>
        <v>11528284.998249058</v>
      </c>
    </row>
    <row r="189" spans="2:16" x14ac:dyDescent="0.25">
      <c r="B189" s="44">
        <v>1</v>
      </c>
      <c r="C189" s="16">
        <f t="dataTable" ref="C189:C191" dt2D="0" dtr="0" r1="C4" ca="1"/>
        <v>21383591.927590847</v>
      </c>
      <c r="E189" s="44">
        <v>1</v>
      </c>
      <c r="F189" s="16">
        <f t="dataTable" ref="F189:F191" dt2D="0" dtr="0" r1="C4"/>
        <v>19464183.227590848</v>
      </c>
      <c r="H189" s="44">
        <v>1</v>
      </c>
      <c r="I189" s="16">
        <f t="dataTable" ref="I189:I191" dt2D="0" dtr="0" r1="C4" ca="1"/>
        <v>7278219.2275908459</v>
      </c>
      <c r="K189" s="44">
        <v>1</v>
      </c>
      <c r="L189" s="16">
        <f t="dataTable" ref="L189:L191" dt2D="0" dtr="0" r1="C4" ca="1"/>
        <v>508089.2231301032</v>
      </c>
    </row>
    <row r="190" spans="2:16" x14ac:dyDescent="0.25">
      <c r="B190" s="44">
        <v>2</v>
      </c>
      <c r="C190" s="16">
        <v>37504417.735758305</v>
      </c>
      <c r="E190" s="44">
        <v>2</v>
      </c>
      <c r="F190" s="16">
        <v>35585009.035758302</v>
      </c>
      <c r="H190" s="44">
        <v>2</v>
      </c>
      <c r="I190" s="16">
        <v>22182013.035758302</v>
      </c>
      <c r="K190" s="44">
        <v>2</v>
      </c>
      <c r="L190" s="16">
        <v>11528284.998249058</v>
      </c>
    </row>
    <row r="191" spans="2:16" x14ac:dyDescent="0.25">
      <c r="B191" s="44">
        <v>3</v>
      </c>
      <c r="C191" s="16">
        <v>60028305.639842033</v>
      </c>
      <c r="E191" s="44">
        <v>3</v>
      </c>
      <c r="F191" s="16">
        <v>58108896.93984203</v>
      </c>
      <c r="H191" s="44">
        <v>3</v>
      </c>
      <c r="I191" s="16">
        <v>44097384.93984203</v>
      </c>
      <c r="K191" s="44">
        <v>3</v>
      </c>
      <c r="L191" s="16">
        <v>28464528.135808535</v>
      </c>
    </row>
    <row r="192" spans="2:16" x14ac:dyDescent="0.25">
      <c r="C192" s="16"/>
      <c r="F192" s="16"/>
      <c r="I192" s="16"/>
      <c r="L192" s="16"/>
    </row>
    <row r="193" spans="2:12" x14ac:dyDescent="0.25">
      <c r="B193" s="1" t="s">
        <v>211</v>
      </c>
      <c r="C193" s="16"/>
      <c r="E193" s="1" t="s">
        <v>487</v>
      </c>
      <c r="F193" s="16"/>
      <c r="I193" s="16"/>
      <c r="L193" s="16"/>
    </row>
    <row r="194" spans="2:12" x14ac:dyDescent="0.25">
      <c r="B194" s="44" t="s">
        <v>390</v>
      </c>
      <c r="C194" s="16">
        <f>K62</f>
        <v>2069375</v>
      </c>
      <c r="E194" s="44" t="s">
        <v>390</v>
      </c>
      <c r="F194" s="16">
        <f>K88</f>
        <v>62288346.75</v>
      </c>
      <c r="I194" s="16"/>
      <c r="L194" s="16"/>
    </row>
    <row r="195" spans="2:12" x14ac:dyDescent="0.25">
      <c r="B195" s="44">
        <v>1</v>
      </c>
      <c r="C195" s="16">
        <f t="dataTable" ref="C195:C197" dt2D="0" dtr="0" r1="C4" ca="1"/>
        <v>1872291.6666666667</v>
      </c>
      <c r="E195" s="44">
        <v>1</v>
      </c>
      <c r="F195" s="16">
        <f t="dataTable" ref="F195:F197" dt2D="0" dtr="0" r1="C4" ca="1"/>
        <v>43807146.75</v>
      </c>
      <c r="I195" s="16"/>
      <c r="L195" s="16"/>
    </row>
    <row r="196" spans="2:12" x14ac:dyDescent="0.25">
      <c r="B196" s="44">
        <v>2</v>
      </c>
      <c r="C196" s="16">
        <v>2069375</v>
      </c>
      <c r="E196" s="44">
        <v>2</v>
      </c>
      <c r="F196" s="16">
        <v>62288346.75</v>
      </c>
      <c r="I196" s="16"/>
      <c r="L196" s="16"/>
    </row>
    <row r="197" spans="2:12" x14ac:dyDescent="0.25">
      <c r="B197" s="44">
        <v>3</v>
      </c>
      <c r="C197" s="16">
        <v>2167916.666666667</v>
      </c>
      <c r="E197" s="44">
        <v>3</v>
      </c>
      <c r="F197" s="16">
        <v>85992421.75</v>
      </c>
      <c r="I197" s="16"/>
      <c r="L197" s="16"/>
    </row>
    <row r="198" spans="2:12" x14ac:dyDescent="0.25">
      <c r="C198" s="16"/>
      <c r="F198" s="16"/>
      <c r="I198" s="16"/>
      <c r="L198" s="16"/>
    </row>
    <row r="199" spans="2:12" x14ac:dyDescent="0.25">
      <c r="C199" s="16"/>
      <c r="F199" s="16"/>
      <c r="I199" s="16"/>
      <c r="L199" s="16"/>
    </row>
    <row r="200" spans="2:12" x14ac:dyDescent="0.25">
      <c r="C200" s="16"/>
      <c r="F200" s="16"/>
      <c r="I200" s="16"/>
      <c r="L200" s="16"/>
    </row>
    <row r="201" spans="2:12" x14ac:dyDescent="0.25">
      <c r="C201" s="16"/>
      <c r="F201" s="16"/>
      <c r="I201" s="16"/>
      <c r="L201" s="16"/>
    </row>
    <row r="202" spans="2:12" x14ac:dyDescent="0.25">
      <c r="C202" s="16"/>
      <c r="F202" s="16"/>
      <c r="I202" s="16"/>
      <c r="L202" s="16"/>
    </row>
    <row r="203" spans="2:12" x14ac:dyDescent="0.25">
      <c r="C203" s="16"/>
      <c r="F203" s="16"/>
      <c r="I203" s="16"/>
      <c r="L203" s="16"/>
    </row>
    <row r="204" spans="2:12" x14ac:dyDescent="0.25">
      <c r="C204" s="16"/>
      <c r="F204" s="16"/>
      <c r="I204" s="16"/>
      <c r="L204" s="16"/>
    </row>
    <row r="205" spans="2:12" x14ac:dyDescent="0.25">
      <c r="C205" s="16"/>
      <c r="F205" s="16"/>
      <c r="I205" s="16"/>
      <c r="L205" s="16"/>
    </row>
    <row r="206" spans="2:12" x14ac:dyDescent="0.25">
      <c r="C206" s="16"/>
      <c r="F206" s="16"/>
      <c r="I206" s="16"/>
      <c r="L206" s="16"/>
    </row>
    <row r="207" spans="2:12" x14ac:dyDescent="0.25">
      <c r="C207" s="16"/>
      <c r="F207" s="16"/>
      <c r="I207" s="16"/>
      <c r="L207" s="16"/>
    </row>
    <row r="208" spans="2:12" x14ac:dyDescent="0.25">
      <c r="C208" s="16"/>
      <c r="F208" s="16"/>
      <c r="I208" s="16"/>
      <c r="L208" s="16"/>
    </row>
    <row r="209" spans="3:12" x14ac:dyDescent="0.25">
      <c r="C209" s="16"/>
      <c r="F209" s="16"/>
      <c r="I209" s="16"/>
      <c r="L209" s="16"/>
    </row>
    <row r="210" spans="3:12" x14ac:dyDescent="0.25">
      <c r="C210" s="16"/>
      <c r="F210" s="16"/>
      <c r="I210" s="16"/>
      <c r="L210" s="16"/>
    </row>
    <row r="211" spans="3:12" x14ac:dyDescent="0.25">
      <c r="C211" s="16"/>
      <c r="F211" s="16"/>
      <c r="I211" s="16"/>
      <c r="L211" s="16"/>
    </row>
    <row r="212" spans="3:12" x14ac:dyDescent="0.25">
      <c r="C212" s="16"/>
      <c r="F212" s="16"/>
      <c r="I212" s="16"/>
      <c r="L212" s="16"/>
    </row>
    <row r="213" spans="3:12" x14ac:dyDescent="0.25">
      <c r="C213" s="16"/>
      <c r="F213" s="16"/>
      <c r="I213" s="16"/>
      <c r="L213" s="16"/>
    </row>
    <row r="214" spans="3:12" x14ac:dyDescent="0.25">
      <c r="C214" s="16"/>
      <c r="F214" s="16"/>
      <c r="I214" s="16"/>
      <c r="L214" s="16"/>
    </row>
    <row r="215" spans="3:12" x14ac:dyDescent="0.25">
      <c r="L215" s="16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Drop Down 1">
              <controlPr defaultSize="0" autoLine="0" autoPict="0">
                <anchor moveWithCells="1">
                  <from>
                    <xdr:col>2</xdr:col>
                    <xdr:colOff>0</xdr:colOff>
                    <xdr:row>3</xdr:row>
                    <xdr:rowOff>0</xdr:rowOff>
                  </from>
                  <to>
                    <xdr:col>3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D96D-E607-EA44-924B-A99BD8CF529C}">
  <dimension ref="B2:P114"/>
  <sheetViews>
    <sheetView showGridLines="0" tabSelected="1" topLeftCell="A35" workbookViewId="0">
      <selection activeCell="H63" sqref="H63"/>
    </sheetView>
  </sheetViews>
  <sheetFormatPr defaultColWidth="10.875" defaultRowHeight="15.75" x14ac:dyDescent="0.25"/>
  <cols>
    <col min="1" max="5" width="10.875" style="1"/>
    <col min="6" max="6" width="13.375" style="1" customWidth="1"/>
    <col min="7" max="7" width="11.5" style="1" bestFit="1" customWidth="1"/>
    <col min="8" max="8" width="12.5" style="1" customWidth="1"/>
    <col min="9" max="16384" width="10.875" style="1"/>
  </cols>
  <sheetData>
    <row r="2" spans="2:16" ht="27.75" x14ac:dyDescent="0.4">
      <c r="B2" s="45" t="s">
        <v>13</v>
      </c>
      <c r="C2" s="53"/>
      <c r="D2" s="53"/>
      <c r="E2" s="53"/>
      <c r="F2" s="54"/>
      <c r="G2" s="54"/>
      <c r="H2" s="54"/>
      <c r="I2" s="54"/>
      <c r="J2" s="54"/>
      <c r="K2" s="53"/>
      <c r="L2" s="53"/>
      <c r="M2" s="53"/>
      <c r="N2" s="53"/>
      <c r="O2" s="53"/>
      <c r="P2" s="53"/>
    </row>
    <row r="5" spans="2:16" ht="23.25" x14ac:dyDescent="0.35">
      <c r="B5" s="46" t="s">
        <v>452</v>
      </c>
      <c r="C5" s="53"/>
      <c r="D5" s="53"/>
      <c r="E5" s="53"/>
      <c r="F5" s="54"/>
      <c r="G5" s="54"/>
      <c r="H5" s="54"/>
      <c r="I5" s="54"/>
      <c r="J5" s="54"/>
      <c r="K5" s="53"/>
      <c r="L5" s="53"/>
      <c r="M5" s="53"/>
      <c r="N5" s="53"/>
      <c r="O5" s="53"/>
      <c r="P5" s="53"/>
    </row>
    <row r="7" spans="2:16" x14ac:dyDescent="0.25">
      <c r="B7" s="1" t="s">
        <v>451</v>
      </c>
      <c r="F7" s="16">
        <v>210000000</v>
      </c>
      <c r="H7" s="10" t="s">
        <v>450</v>
      </c>
      <c r="I7" s="10"/>
      <c r="J7" s="10"/>
      <c r="K7" s="10"/>
      <c r="L7" s="101">
        <f>F13/F15</f>
        <v>5.5756279170641836</v>
      </c>
    </row>
    <row r="8" spans="2:16" x14ac:dyDescent="0.25">
      <c r="F8" s="16"/>
    </row>
    <row r="9" spans="2:16" x14ac:dyDescent="0.25">
      <c r="B9" s="1" t="s">
        <v>106</v>
      </c>
      <c r="F9" s="16">
        <f>'Capital Structure'!J26</f>
        <v>8465858</v>
      </c>
      <c r="H9" s="10" t="s">
        <v>457</v>
      </c>
      <c r="I9" s="10"/>
      <c r="J9" s="10"/>
      <c r="K9" s="10"/>
      <c r="L9" s="10">
        <v>5.28</v>
      </c>
    </row>
    <row r="10" spans="2:16" x14ac:dyDescent="0.25">
      <c r="F10" s="16"/>
    </row>
    <row r="11" spans="2:16" x14ac:dyDescent="0.25">
      <c r="B11" s="1" t="s">
        <v>350</v>
      </c>
      <c r="F11" s="16">
        <f>'Capital Structure'!E29</f>
        <v>45500000</v>
      </c>
      <c r="H11" s="1" t="s">
        <v>460</v>
      </c>
      <c r="L11" s="100">
        <f>L7-L9</f>
        <v>0.29562791706418334</v>
      </c>
    </row>
    <row r="12" spans="2:16" x14ac:dyDescent="0.25">
      <c r="F12" s="16"/>
    </row>
    <row r="13" spans="2:16" x14ac:dyDescent="0.25">
      <c r="B13" s="10" t="s">
        <v>449</v>
      </c>
      <c r="C13" s="10"/>
      <c r="D13" s="10"/>
      <c r="E13" s="10"/>
      <c r="F13" s="17">
        <f>F7+F9-F11</f>
        <v>172965858</v>
      </c>
      <c r="G13" s="10"/>
      <c r="H13" s="10" t="s">
        <v>458</v>
      </c>
      <c r="I13" s="10"/>
      <c r="J13" s="10"/>
      <c r="K13" s="10"/>
      <c r="L13" s="102">
        <f>(L7-L9)/L7</f>
        <v>5.3021457217296633E-2</v>
      </c>
    </row>
    <row r="14" spans="2:16" x14ac:dyDescent="0.25">
      <c r="F14" s="16"/>
    </row>
    <row r="15" spans="2:16" x14ac:dyDescent="0.25">
      <c r="B15" s="1" t="s">
        <v>435</v>
      </c>
      <c r="F15" s="16">
        <f>'Capital Structure'!E16</f>
        <v>31021772</v>
      </c>
    </row>
    <row r="16" spans="2:16" x14ac:dyDescent="0.25">
      <c r="F16" s="16"/>
    </row>
    <row r="17" spans="2:16" x14ac:dyDescent="0.25">
      <c r="F17" s="100"/>
    </row>
    <row r="18" spans="2:16" ht="23.25" x14ac:dyDescent="0.35">
      <c r="B18" s="46" t="s">
        <v>459</v>
      </c>
      <c r="C18" s="53"/>
      <c r="D18" s="53"/>
      <c r="E18" s="53"/>
      <c r="F18" s="54"/>
      <c r="G18" s="54"/>
      <c r="H18" s="54"/>
      <c r="I18" s="54"/>
      <c r="J18" s="54"/>
      <c r="K18" s="53"/>
      <c r="L18" s="53"/>
      <c r="M18" s="53"/>
      <c r="N18" s="53"/>
      <c r="O18" s="53"/>
      <c r="P18" s="53"/>
    </row>
    <row r="20" spans="2:16" x14ac:dyDescent="0.25">
      <c r="B20" s="1" t="s">
        <v>463</v>
      </c>
      <c r="F20" s="1">
        <v>2026</v>
      </c>
    </row>
    <row r="21" spans="2:16" x14ac:dyDescent="0.25">
      <c r="B21" s="1" t="s">
        <v>0</v>
      </c>
      <c r="F21" s="74">
        <f>'Capital Structure'!E7</f>
        <v>5.28</v>
      </c>
      <c r="H21" s="1" t="s">
        <v>270</v>
      </c>
      <c r="L21" s="16">
        <f>'Forecast Model'!K177</f>
        <v>11528284.998249058</v>
      </c>
    </row>
    <row r="22" spans="2:16" x14ac:dyDescent="0.25">
      <c r="B22" s="16" t="s">
        <v>453</v>
      </c>
      <c r="C22" s="16"/>
      <c r="D22" s="16"/>
      <c r="E22" s="16"/>
      <c r="F22" s="16">
        <f>'Capital Structure'!J34</f>
        <v>200829098.16</v>
      </c>
      <c r="G22" s="95"/>
      <c r="H22" s="104" t="s">
        <v>464</v>
      </c>
      <c r="I22" s="95"/>
      <c r="J22" s="95"/>
      <c r="L22" s="87">
        <f>L21/F23</f>
        <v>7.0382417557399449E-2</v>
      </c>
    </row>
    <row r="23" spans="2:16" x14ac:dyDescent="0.25">
      <c r="B23" s="1" t="s">
        <v>1</v>
      </c>
      <c r="F23" s="16">
        <f>'Capital Structure'!J8</f>
        <v>163794956.16</v>
      </c>
      <c r="L23" s="16"/>
    </row>
    <row r="24" spans="2:16" x14ac:dyDescent="0.25">
      <c r="B24" s="1" t="s">
        <v>8</v>
      </c>
      <c r="F24" s="16">
        <f>'Capital Structure'!E16</f>
        <v>31021772</v>
      </c>
      <c r="H24" s="1" t="s">
        <v>472</v>
      </c>
      <c r="L24" s="16">
        <f>'Forecast Model'!K62/365</f>
        <v>5669.5205479452052</v>
      </c>
    </row>
    <row r="25" spans="2:16" x14ac:dyDescent="0.25">
      <c r="F25" s="16"/>
      <c r="H25" s="10" t="s">
        <v>469</v>
      </c>
      <c r="L25" s="17">
        <f>F22/L24</f>
        <v>35422.589346251887</v>
      </c>
    </row>
    <row r="26" spans="2:16" x14ac:dyDescent="0.25">
      <c r="B26" s="1" t="s">
        <v>31</v>
      </c>
      <c r="F26" s="16">
        <f>'Forecast Model'!K139</f>
        <v>35585009.035758302</v>
      </c>
      <c r="L26" s="16"/>
    </row>
    <row r="27" spans="2:16" x14ac:dyDescent="0.25">
      <c r="B27" s="1" t="s">
        <v>32</v>
      </c>
      <c r="F27" s="16">
        <f>'Forecast Model'!K132</f>
        <v>37504417.735758305</v>
      </c>
      <c r="H27" s="1" t="s">
        <v>473</v>
      </c>
      <c r="L27" s="16">
        <f>'Production &amp; Reserves'!J88</f>
        <v>26006333.333333336</v>
      </c>
    </row>
    <row r="28" spans="2:16" x14ac:dyDescent="0.25">
      <c r="B28" s="1" t="s">
        <v>461</v>
      </c>
      <c r="F28" s="16">
        <f>'Forecast Model'!K150</f>
        <v>22182013.035758302</v>
      </c>
      <c r="H28" s="10" t="s">
        <v>474</v>
      </c>
      <c r="L28" s="100">
        <f>F22/L27</f>
        <v>7.7223150063446075</v>
      </c>
    </row>
    <row r="29" spans="2:16" x14ac:dyDescent="0.25">
      <c r="F29" s="16"/>
      <c r="L29" s="16"/>
    </row>
    <row r="30" spans="2:16" x14ac:dyDescent="0.25">
      <c r="B30" s="10" t="s">
        <v>465</v>
      </c>
      <c r="F30" s="103">
        <f>F22/F26</f>
        <v>5.6436433094113561</v>
      </c>
      <c r="H30" s="1" t="s">
        <v>470</v>
      </c>
      <c r="L30" s="100">
        <f>L7</f>
        <v>5.5756279170641836</v>
      </c>
    </row>
    <row r="31" spans="2:16" x14ac:dyDescent="0.25">
      <c r="B31" s="10" t="s">
        <v>466</v>
      </c>
      <c r="F31" s="103">
        <f>F22/F27</f>
        <v>5.3548117871063763</v>
      </c>
      <c r="H31" s="1" t="s">
        <v>471</v>
      </c>
      <c r="L31" s="105">
        <f>F21/L30</f>
        <v>0.94697854278270333</v>
      </c>
    </row>
    <row r="32" spans="2:16" x14ac:dyDescent="0.25">
      <c r="B32" s="10" t="s">
        <v>467</v>
      </c>
      <c r="F32" s="103">
        <f>F22/F28</f>
        <v>9.0536912874523772</v>
      </c>
      <c r="L32" s="16"/>
    </row>
    <row r="33" spans="2:16" x14ac:dyDescent="0.25">
      <c r="F33" s="16"/>
      <c r="L33" s="16"/>
    </row>
    <row r="34" spans="2:16" x14ac:dyDescent="0.25">
      <c r="B34" s="1" t="s">
        <v>462</v>
      </c>
      <c r="F34" s="100">
        <f>'Forecast Model'!K159</f>
        <v>0.56488682523516254</v>
      </c>
    </row>
    <row r="35" spans="2:16" x14ac:dyDescent="0.25">
      <c r="B35" s="10" t="s">
        <v>468</v>
      </c>
      <c r="C35" s="10"/>
      <c r="D35" s="10"/>
      <c r="E35" s="10"/>
      <c r="F35" s="103">
        <f>F21/F34</f>
        <v>9.3470050355696195</v>
      </c>
    </row>
    <row r="38" spans="2:16" ht="23.25" x14ac:dyDescent="0.35">
      <c r="B38" s="46" t="s">
        <v>475</v>
      </c>
      <c r="C38" s="53"/>
      <c r="D38" s="53"/>
      <c r="E38" s="53"/>
      <c r="F38" s="54"/>
      <c r="G38" s="54"/>
      <c r="H38" s="54"/>
      <c r="I38" s="54"/>
      <c r="J38" s="54"/>
      <c r="K38" s="53"/>
      <c r="L38" s="53"/>
      <c r="M38" s="53"/>
      <c r="N38" s="53"/>
      <c r="O38" s="53"/>
      <c r="P38" s="53"/>
    </row>
    <row r="40" spans="2:16" x14ac:dyDescent="0.25">
      <c r="F40" s="50" t="s">
        <v>392</v>
      </c>
      <c r="G40" s="50" t="s">
        <v>391</v>
      </c>
      <c r="H40" s="50" t="s">
        <v>393</v>
      </c>
    </row>
    <row r="42" spans="2:16" x14ac:dyDescent="0.25">
      <c r="B42" s="10" t="s">
        <v>484</v>
      </c>
    </row>
    <row r="43" spans="2:16" x14ac:dyDescent="0.25">
      <c r="B43" s="32" t="s">
        <v>476</v>
      </c>
      <c r="F43" s="67">
        <f>'Forecast Model'!E28</f>
        <v>55</v>
      </c>
      <c r="G43" s="67">
        <f>'Forecast Model'!E29</f>
        <v>70</v>
      </c>
      <c r="H43" s="67">
        <f>'Forecast Model'!E30</f>
        <v>85</v>
      </c>
    </row>
    <row r="44" spans="2:16" x14ac:dyDescent="0.25">
      <c r="B44" s="32" t="s">
        <v>477</v>
      </c>
      <c r="F44" s="67">
        <f>'Forecast Model'!E23</f>
        <v>2.5</v>
      </c>
      <c r="G44" s="67">
        <f>'Forecast Model'!E24</f>
        <v>3.5</v>
      </c>
      <c r="H44" s="67">
        <f>'Forecast Model'!E25</f>
        <v>5</v>
      </c>
    </row>
    <row r="45" spans="2:16" x14ac:dyDescent="0.25">
      <c r="B45" s="32" t="s">
        <v>478</v>
      </c>
      <c r="F45" s="67">
        <f>'Forecast Model'!E33</f>
        <v>18</v>
      </c>
      <c r="G45" s="67">
        <f>'Forecast Model'!E34</f>
        <v>25</v>
      </c>
      <c r="H45" s="67">
        <f>'Forecast Model'!E35</f>
        <v>35</v>
      </c>
    </row>
    <row r="46" spans="2:16" x14ac:dyDescent="0.25">
      <c r="F46" s="67"/>
      <c r="G46" s="67"/>
      <c r="H46" s="67"/>
    </row>
    <row r="47" spans="2:16" x14ac:dyDescent="0.25">
      <c r="B47" s="10" t="s">
        <v>485</v>
      </c>
      <c r="F47" s="67"/>
      <c r="G47" s="67"/>
      <c r="H47" s="67"/>
    </row>
    <row r="48" spans="2:16" x14ac:dyDescent="0.25">
      <c r="B48" s="1" t="s">
        <v>486</v>
      </c>
      <c r="F48" s="67">
        <f>'Forecast Model'!C195</f>
        <v>1872291.6666666667</v>
      </c>
      <c r="G48" s="67">
        <f>'Forecast Model'!C196</f>
        <v>2069375</v>
      </c>
      <c r="H48" s="67">
        <f>'Forecast Model'!C197</f>
        <v>2167916.666666667</v>
      </c>
    </row>
    <row r="49" spans="2:9" x14ac:dyDescent="0.25">
      <c r="B49" s="1" t="s">
        <v>487</v>
      </c>
      <c r="F49" s="16">
        <f>'Forecast Model'!F195</f>
        <v>43807146.75</v>
      </c>
      <c r="G49" s="16">
        <f>'Forecast Model'!F196</f>
        <v>62288346.75</v>
      </c>
      <c r="H49" s="16">
        <f>'Forecast Model'!F197</f>
        <v>85992421.75</v>
      </c>
      <c r="I49" s="16"/>
    </row>
    <row r="50" spans="2:9" x14ac:dyDescent="0.25">
      <c r="B50" s="1" t="s">
        <v>32</v>
      </c>
      <c r="F50" s="16">
        <f>'Forecast Model'!C189</f>
        <v>21383591.927590847</v>
      </c>
      <c r="G50" s="16">
        <f>'Forecast Model'!C190</f>
        <v>37504417.735758305</v>
      </c>
      <c r="H50" s="16">
        <f>'Forecast Model'!C191</f>
        <v>60028305.639842033</v>
      </c>
      <c r="I50" s="16"/>
    </row>
    <row r="51" spans="2:9" x14ac:dyDescent="0.25">
      <c r="B51" s="1" t="s">
        <v>31</v>
      </c>
      <c r="F51" s="16">
        <f>'Forecast Model'!F189</f>
        <v>19464183.227590848</v>
      </c>
      <c r="G51" s="16">
        <f>'Forecast Model'!F190</f>
        <v>35585009.035758302</v>
      </c>
      <c r="H51" s="16">
        <f>'Forecast Model'!F191</f>
        <v>58108896.93984203</v>
      </c>
      <c r="I51" s="16"/>
    </row>
    <row r="52" spans="2:9" x14ac:dyDescent="0.25">
      <c r="B52" s="1" t="s">
        <v>481</v>
      </c>
      <c r="F52" s="118">
        <v>4.5</v>
      </c>
      <c r="G52" s="118">
        <v>5.5</v>
      </c>
      <c r="H52" s="118">
        <v>6.5</v>
      </c>
      <c r="I52" s="16"/>
    </row>
    <row r="53" spans="2:9" x14ac:dyDescent="0.25">
      <c r="F53" s="16"/>
      <c r="G53" s="16"/>
      <c r="H53" s="16"/>
      <c r="I53" s="16"/>
    </row>
    <row r="54" spans="2:9" x14ac:dyDescent="0.25">
      <c r="B54" s="10" t="s">
        <v>488</v>
      </c>
      <c r="F54" s="16"/>
      <c r="G54" s="16"/>
      <c r="H54" s="16"/>
      <c r="I54" s="16"/>
    </row>
    <row r="55" spans="2:9" x14ac:dyDescent="0.25">
      <c r="B55" s="32" t="s">
        <v>482</v>
      </c>
      <c r="F55" s="17">
        <f>F50*F52</f>
        <v>96226163.674158812</v>
      </c>
      <c r="G55" s="17">
        <f t="shared" ref="G55:H55" si="0">G50*G52</f>
        <v>206274297.54667068</v>
      </c>
      <c r="H55" s="17">
        <f t="shared" si="0"/>
        <v>390183986.65897322</v>
      </c>
      <c r="I55" s="16"/>
    </row>
    <row r="56" spans="2:9" x14ac:dyDescent="0.25">
      <c r="B56" s="32" t="s">
        <v>180</v>
      </c>
      <c r="F56" s="16">
        <f>'Capital Structure'!$J$28</f>
        <v>37034142</v>
      </c>
      <c r="G56" s="16">
        <f>'Capital Structure'!$J$28</f>
        <v>37034142</v>
      </c>
      <c r="H56" s="16">
        <f>'Capital Structure'!$J$28</f>
        <v>37034142</v>
      </c>
      <c r="I56" s="16"/>
    </row>
    <row r="57" spans="2:9" x14ac:dyDescent="0.25">
      <c r="B57" s="32" t="s">
        <v>483</v>
      </c>
      <c r="F57" s="17">
        <f>F55-F56</f>
        <v>59192021.674158812</v>
      </c>
      <c r="G57" s="17">
        <f t="shared" ref="G57:H57" si="1">G55-G56</f>
        <v>169240155.54667068</v>
      </c>
      <c r="H57" s="17">
        <f t="shared" si="1"/>
        <v>353149844.65897322</v>
      </c>
      <c r="I57" s="16"/>
    </row>
    <row r="58" spans="2:9" x14ac:dyDescent="0.25">
      <c r="B58" s="32" t="s">
        <v>489</v>
      </c>
      <c r="F58" s="16">
        <f>('Capital Structure'!$E$16)+200000</f>
        <v>31221772</v>
      </c>
      <c r="G58" s="16">
        <f>('Capital Structure'!$E$16)+200000</f>
        <v>31221772</v>
      </c>
      <c r="H58" s="16">
        <f>('Capital Structure'!$E$16)+200000</f>
        <v>31221772</v>
      </c>
      <c r="I58" s="16"/>
    </row>
    <row r="59" spans="2:9" x14ac:dyDescent="0.25">
      <c r="B59" s="32" t="s">
        <v>490</v>
      </c>
      <c r="F59" s="101">
        <f>F57/F58</f>
        <v>1.8958572138108885</v>
      </c>
      <c r="G59" s="101">
        <f t="shared" ref="G59:H59" si="2">G57/G58</f>
        <v>5.4205813669599108</v>
      </c>
      <c r="H59" s="101">
        <f t="shared" si="2"/>
        <v>11.311012221182489</v>
      </c>
      <c r="I59" s="16"/>
    </row>
    <row r="60" spans="2:9" x14ac:dyDescent="0.25">
      <c r="F60" s="16"/>
      <c r="G60" s="16"/>
      <c r="H60" s="16"/>
      <c r="I60" s="16"/>
    </row>
    <row r="61" spans="2:9" x14ac:dyDescent="0.25">
      <c r="B61" s="10" t="s">
        <v>493</v>
      </c>
      <c r="F61" s="16"/>
      <c r="G61" s="16"/>
      <c r="H61" s="16"/>
      <c r="I61" s="16"/>
    </row>
    <row r="62" spans="2:9" x14ac:dyDescent="0.25">
      <c r="B62" s="32" t="s">
        <v>457</v>
      </c>
      <c r="F62" s="100">
        <f>'Capital Structure'!$E$7</f>
        <v>5.28</v>
      </c>
      <c r="G62" s="100">
        <f>'Capital Structure'!$E$7</f>
        <v>5.28</v>
      </c>
      <c r="H62" s="100">
        <f>'Capital Structure'!$E$7</f>
        <v>5.28</v>
      </c>
      <c r="I62" s="16"/>
    </row>
    <row r="63" spans="2:9" x14ac:dyDescent="0.25">
      <c r="B63" s="32" t="s">
        <v>491</v>
      </c>
      <c r="F63" s="86">
        <f>(F59-F62)/F62</f>
        <v>-0.64093613374793779</v>
      </c>
      <c r="G63" s="86">
        <f t="shared" ref="G63:H63" si="3">(G59-G62)/G62</f>
        <v>2.6625258893922445E-2</v>
      </c>
      <c r="H63" s="86">
        <f t="shared" si="3"/>
        <v>1.1422371631027441</v>
      </c>
      <c r="I63" s="16"/>
    </row>
    <row r="64" spans="2:9" x14ac:dyDescent="0.25">
      <c r="B64" s="32" t="s">
        <v>458</v>
      </c>
      <c r="F64" s="86">
        <f>MAX(0,(F59-F62)/F59)</f>
        <v>0</v>
      </c>
      <c r="G64" s="86">
        <f t="shared" ref="G64:H64" si="4">MAX(0,(G59-G62)/G59)</f>
        <v>2.5934739734154097E-2</v>
      </c>
      <c r="H64" s="86">
        <f t="shared" si="4"/>
        <v>0.53319827644496942</v>
      </c>
      <c r="I64" s="16"/>
    </row>
    <row r="65" spans="2:9" x14ac:dyDescent="0.25">
      <c r="F65" s="16"/>
      <c r="G65" s="16"/>
      <c r="H65" s="16"/>
      <c r="I65" s="16"/>
    </row>
    <row r="66" spans="2:9" x14ac:dyDescent="0.25">
      <c r="B66" s="44"/>
      <c r="C66" s="16"/>
      <c r="D66" s="16"/>
      <c r="F66" s="16"/>
      <c r="G66" s="16"/>
      <c r="H66" s="16"/>
      <c r="I66" s="16"/>
    </row>
    <row r="67" spans="2:9" x14ac:dyDescent="0.25">
      <c r="B67" s="44"/>
      <c r="D67" s="16"/>
      <c r="F67" s="16"/>
      <c r="G67" s="16"/>
      <c r="H67" s="16"/>
      <c r="I67" s="16"/>
    </row>
    <row r="68" spans="2:9" x14ac:dyDescent="0.25">
      <c r="B68" s="44"/>
      <c r="F68" s="16"/>
      <c r="G68" s="16"/>
      <c r="H68" s="16"/>
      <c r="I68" s="16"/>
    </row>
    <row r="69" spans="2:9" x14ac:dyDescent="0.25">
      <c r="B69" s="44"/>
      <c r="F69" s="16"/>
      <c r="G69" s="16"/>
      <c r="H69" s="16"/>
      <c r="I69" s="16"/>
    </row>
    <row r="70" spans="2:9" x14ac:dyDescent="0.25">
      <c r="B70" s="44"/>
      <c r="F70" s="16"/>
      <c r="G70" s="16"/>
      <c r="H70" s="16"/>
      <c r="I70" s="16"/>
    </row>
    <row r="71" spans="2:9" x14ac:dyDescent="0.25">
      <c r="B71" s="44"/>
      <c r="F71" s="16"/>
      <c r="G71" s="16"/>
      <c r="H71" s="16"/>
      <c r="I71" s="16"/>
    </row>
    <row r="72" spans="2:9" x14ac:dyDescent="0.25">
      <c r="B72" s="44"/>
      <c r="F72" s="16"/>
      <c r="G72" s="16"/>
      <c r="H72" s="16"/>
      <c r="I72" s="16"/>
    </row>
    <row r="73" spans="2:9" x14ac:dyDescent="0.25">
      <c r="B73" s="44"/>
      <c r="F73" s="16"/>
      <c r="G73" s="16"/>
      <c r="H73" s="16"/>
      <c r="I73" s="16"/>
    </row>
    <row r="74" spans="2:9" x14ac:dyDescent="0.25">
      <c r="B74" s="44"/>
      <c r="F74" s="16"/>
      <c r="G74" s="16"/>
      <c r="H74" s="16"/>
      <c r="I74" s="16"/>
    </row>
    <row r="75" spans="2:9" x14ac:dyDescent="0.25">
      <c r="B75" s="44"/>
      <c r="F75" s="16"/>
      <c r="G75" s="16"/>
      <c r="H75" s="16"/>
      <c r="I75" s="16"/>
    </row>
    <row r="76" spans="2:9" x14ac:dyDescent="0.25">
      <c r="B76" s="44"/>
      <c r="F76" s="16"/>
      <c r="G76" s="16"/>
      <c r="H76" s="16"/>
      <c r="I76" s="16"/>
    </row>
    <row r="77" spans="2:9" x14ac:dyDescent="0.25">
      <c r="B77" s="44"/>
      <c r="F77" s="16"/>
      <c r="G77" s="16"/>
      <c r="H77" s="16"/>
      <c r="I77" s="16"/>
    </row>
    <row r="78" spans="2:9" x14ac:dyDescent="0.25">
      <c r="F78" s="16"/>
      <c r="G78" s="16"/>
      <c r="H78" s="16"/>
      <c r="I78" s="16"/>
    </row>
    <row r="79" spans="2:9" x14ac:dyDescent="0.25">
      <c r="F79" s="16"/>
      <c r="G79" s="16"/>
      <c r="H79" s="16"/>
      <c r="I79" s="16"/>
    </row>
    <row r="80" spans="2:9" x14ac:dyDescent="0.25">
      <c r="F80" s="16"/>
      <c r="G80" s="16"/>
      <c r="H80" s="16"/>
      <c r="I80" s="16"/>
    </row>
    <row r="81" spans="6:9" x14ac:dyDescent="0.25">
      <c r="F81" s="16"/>
      <c r="G81" s="16"/>
      <c r="H81" s="16"/>
      <c r="I81" s="16"/>
    </row>
    <row r="82" spans="6:9" x14ac:dyDescent="0.25">
      <c r="F82" s="16"/>
      <c r="G82" s="16"/>
      <c r="H82" s="16"/>
      <c r="I82" s="16"/>
    </row>
    <row r="83" spans="6:9" x14ac:dyDescent="0.25">
      <c r="F83" s="16"/>
      <c r="G83" s="16"/>
      <c r="H83" s="16"/>
      <c r="I83" s="16"/>
    </row>
    <row r="84" spans="6:9" x14ac:dyDescent="0.25">
      <c r="F84" s="16"/>
      <c r="G84" s="16"/>
      <c r="H84" s="16"/>
      <c r="I84" s="16"/>
    </row>
    <row r="85" spans="6:9" x14ac:dyDescent="0.25">
      <c r="F85" s="16"/>
      <c r="G85" s="16"/>
      <c r="H85" s="16"/>
      <c r="I85" s="16"/>
    </row>
    <row r="86" spans="6:9" x14ac:dyDescent="0.25">
      <c r="F86" s="16"/>
      <c r="G86" s="16"/>
      <c r="H86" s="16"/>
      <c r="I86" s="16"/>
    </row>
    <row r="87" spans="6:9" x14ac:dyDescent="0.25">
      <c r="F87" s="16"/>
      <c r="G87" s="16"/>
      <c r="H87" s="16"/>
      <c r="I87" s="16"/>
    </row>
    <row r="88" spans="6:9" x14ac:dyDescent="0.25">
      <c r="F88" s="16"/>
      <c r="G88" s="16"/>
      <c r="H88" s="16"/>
      <c r="I88" s="16"/>
    </row>
    <row r="89" spans="6:9" x14ac:dyDescent="0.25">
      <c r="F89" s="16"/>
      <c r="G89" s="16"/>
      <c r="H89" s="16"/>
      <c r="I89" s="16"/>
    </row>
    <row r="90" spans="6:9" x14ac:dyDescent="0.25">
      <c r="F90" s="16"/>
      <c r="G90" s="16"/>
      <c r="H90" s="16"/>
      <c r="I90" s="16"/>
    </row>
    <row r="91" spans="6:9" x14ac:dyDescent="0.25">
      <c r="F91" s="16"/>
      <c r="G91" s="16"/>
      <c r="H91" s="16"/>
      <c r="I91" s="16"/>
    </row>
    <row r="92" spans="6:9" x14ac:dyDescent="0.25">
      <c r="F92" s="16"/>
      <c r="G92" s="16"/>
      <c r="H92" s="16"/>
      <c r="I92" s="16"/>
    </row>
    <row r="93" spans="6:9" x14ac:dyDescent="0.25">
      <c r="F93" s="16"/>
      <c r="G93" s="16"/>
      <c r="H93" s="16"/>
      <c r="I93" s="16"/>
    </row>
    <row r="94" spans="6:9" x14ac:dyDescent="0.25">
      <c r="F94" s="16"/>
      <c r="G94" s="16"/>
      <c r="H94" s="16"/>
      <c r="I94" s="16"/>
    </row>
    <row r="95" spans="6:9" x14ac:dyDescent="0.25">
      <c r="F95" s="16"/>
      <c r="G95" s="16"/>
      <c r="H95" s="16"/>
      <c r="I95" s="16"/>
    </row>
    <row r="96" spans="6:9" x14ac:dyDescent="0.25">
      <c r="F96" s="16"/>
      <c r="G96" s="16"/>
      <c r="H96" s="16"/>
      <c r="I96" s="16"/>
    </row>
    <row r="97" spans="6:9" x14ac:dyDescent="0.25">
      <c r="F97" s="16"/>
      <c r="G97" s="16"/>
      <c r="H97" s="16"/>
      <c r="I97" s="16"/>
    </row>
    <row r="98" spans="6:9" x14ac:dyDescent="0.25">
      <c r="F98" s="16"/>
      <c r="G98" s="16"/>
      <c r="H98" s="16"/>
      <c r="I98" s="16"/>
    </row>
    <row r="99" spans="6:9" x14ac:dyDescent="0.25">
      <c r="F99" s="16"/>
      <c r="G99" s="16"/>
      <c r="H99" s="16"/>
      <c r="I99" s="16"/>
    </row>
    <row r="100" spans="6:9" x14ac:dyDescent="0.25">
      <c r="F100" s="16"/>
      <c r="G100" s="16"/>
      <c r="H100" s="16"/>
      <c r="I100" s="16"/>
    </row>
    <row r="101" spans="6:9" x14ac:dyDescent="0.25">
      <c r="F101" s="16"/>
      <c r="G101" s="16"/>
      <c r="H101" s="16"/>
      <c r="I101" s="16"/>
    </row>
    <row r="102" spans="6:9" x14ac:dyDescent="0.25">
      <c r="F102" s="16"/>
      <c r="G102" s="16"/>
      <c r="H102" s="16"/>
      <c r="I102" s="16"/>
    </row>
    <row r="103" spans="6:9" x14ac:dyDescent="0.25">
      <c r="F103" s="16"/>
      <c r="G103" s="16"/>
      <c r="H103" s="16"/>
      <c r="I103" s="16"/>
    </row>
    <row r="104" spans="6:9" x14ac:dyDescent="0.25">
      <c r="F104" s="16"/>
      <c r="G104" s="16"/>
      <c r="H104" s="16"/>
      <c r="I104" s="16"/>
    </row>
    <row r="105" spans="6:9" x14ac:dyDescent="0.25">
      <c r="F105" s="16"/>
      <c r="G105" s="16"/>
      <c r="H105" s="16"/>
      <c r="I105" s="16"/>
    </row>
    <row r="106" spans="6:9" x14ac:dyDescent="0.25">
      <c r="F106" s="16"/>
      <c r="G106" s="16"/>
      <c r="H106" s="16"/>
      <c r="I106" s="16"/>
    </row>
    <row r="107" spans="6:9" x14ac:dyDescent="0.25">
      <c r="F107" s="16"/>
      <c r="G107" s="16"/>
      <c r="H107" s="16"/>
      <c r="I107" s="16"/>
    </row>
    <row r="108" spans="6:9" x14ac:dyDescent="0.25">
      <c r="F108" s="16"/>
      <c r="G108" s="16"/>
      <c r="H108" s="16"/>
      <c r="I108" s="16"/>
    </row>
    <row r="109" spans="6:9" x14ac:dyDescent="0.25">
      <c r="F109" s="16"/>
      <c r="G109" s="16"/>
      <c r="H109" s="16"/>
      <c r="I109" s="16"/>
    </row>
    <row r="110" spans="6:9" x14ac:dyDescent="0.25">
      <c r="F110" s="16"/>
      <c r="G110" s="16"/>
      <c r="H110" s="16"/>
      <c r="I110" s="16"/>
    </row>
    <row r="111" spans="6:9" x14ac:dyDescent="0.25">
      <c r="F111" s="16"/>
      <c r="G111" s="16"/>
      <c r="H111" s="16"/>
      <c r="I111" s="16"/>
    </row>
    <row r="112" spans="6:9" x14ac:dyDescent="0.25">
      <c r="F112" s="16"/>
      <c r="G112" s="16"/>
      <c r="H112" s="16"/>
      <c r="I112" s="16"/>
    </row>
    <row r="113" spans="6:9" x14ac:dyDescent="0.25">
      <c r="F113" s="16"/>
      <c r="G113" s="16"/>
      <c r="H113" s="16"/>
      <c r="I113" s="16"/>
    </row>
    <row r="114" spans="6:9" x14ac:dyDescent="0.25">
      <c r="F114" s="16"/>
      <c r="G114" s="16"/>
      <c r="H114" s="16"/>
      <c r="I11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Historical Financials</vt:lpstr>
      <vt:lpstr>Production &amp; Reserves</vt:lpstr>
      <vt:lpstr>Capital Structure</vt:lpstr>
      <vt:lpstr>Debt Schedule</vt:lpstr>
      <vt:lpstr>Forecast Model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Passafiume</dc:creator>
  <cp:lastModifiedBy>Conner Passafiume</cp:lastModifiedBy>
  <dcterms:created xsi:type="dcterms:W3CDTF">2026-05-25T06:55:13Z</dcterms:created>
  <dcterms:modified xsi:type="dcterms:W3CDTF">2026-09-10T05:57:22Z</dcterms:modified>
</cp:coreProperties>
</file>