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ne\Documents\Finance\Models\"/>
    </mc:Choice>
  </mc:AlternateContent>
  <xr:revisionPtr revIDLastSave="0" documentId="13_ncr:1_{E234B7D6-95CC-436F-B3BF-4DAD0786B61F}" xr6:coauthVersionLast="47" xr6:coauthVersionMax="47" xr10:uidLastSave="{00000000-0000-0000-0000-000000000000}"/>
  <bookViews>
    <workbookView xWindow="28980" yWindow="330" windowWidth="26775" windowHeight="14190" activeTab="2" xr2:uid="{91E7C8A5-BB5D-4095-8D4A-20008ACAE816}"/>
  </bookViews>
  <sheets>
    <sheet name="Historical Financials" sheetId="1" r:id="rId1"/>
    <sheet name="IS Analysis" sheetId="2" r:id="rId2"/>
    <sheet name="Valuation and Scenario" sheetId="5" r:id="rId3"/>
    <sheet name="BS Analysis 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0" i="5" l="1"/>
  <c r="O45" i="4"/>
  <c r="L109" i="4"/>
  <c r="M109" i="4"/>
  <c r="L106" i="4"/>
  <c r="M106" i="4"/>
  <c r="L107" i="4"/>
  <c r="M107" i="4"/>
  <c r="M103" i="4"/>
  <c r="M104" i="4"/>
  <c r="M100" i="4"/>
  <c r="M101" i="4"/>
  <c r="M96" i="4"/>
  <c r="M97" i="4"/>
  <c r="M98" i="4" s="1"/>
  <c r="L87" i="4"/>
  <c r="L86" i="4"/>
  <c r="M30" i="5"/>
  <c r="R72" i="4"/>
  <c r="M60" i="4"/>
  <c r="L60" i="4"/>
  <c r="M41" i="4"/>
  <c r="M42" i="4"/>
  <c r="M43" i="4"/>
  <c r="M44" i="4"/>
  <c r="M45" i="4"/>
  <c r="M47" i="4"/>
  <c r="M49" i="4"/>
  <c r="M51" i="4"/>
  <c r="M63" i="4" s="1"/>
  <c r="M52" i="4"/>
  <c r="M64" i="4" s="1"/>
  <c r="M59" i="4"/>
  <c r="M61" i="4"/>
  <c r="M66" i="4"/>
  <c r="M73" i="4"/>
  <c r="M74" i="4"/>
  <c r="M75" i="4"/>
  <c r="M76" i="4"/>
  <c r="M79" i="4"/>
  <c r="M80" i="4"/>
  <c r="M81" i="4"/>
  <c r="M82" i="4"/>
  <c r="M83" i="4"/>
  <c r="M86" i="4"/>
  <c r="M89" i="4" s="1"/>
  <c r="M87" i="4"/>
  <c r="M88" i="4"/>
  <c r="J94" i="4"/>
  <c r="K94" i="4" s="1"/>
  <c r="J71" i="4"/>
  <c r="K71" i="4" s="1"/>
  <c r="J57" i="4"/>
  <c r="K57" i="4" s="1"/>
  <c r="J39" i="4"/>
  <c r="K39" i="4" s="1"/>
  <c r="M25" i="4"/>
  <c r="M19" i="4"/>
  <c r="M12" i="4"/>
  <c r="M27" i="4"/>
  <c r="M34" i="4" s="1"/>
  <c r="M27" i="5"/>
  <c r="N27" i="5"/>
  <c r="M24" i="5"/>
  <c r="N24" i="5"/>
  <c r="M16" i="5"/>
  <c r="M17" i="5" s="1"/>
  <c r="N16" i="5"/>
  <c r="N17" i="5"/>
  <c r="M12" i="5"/>
  <c r="N12" i="5"/>
  <c r="M13" i="5"/>
  <c r="N13" i="5"/>
  <c r="N11" i="5"/>
  <c r="M9" i="5"/>
  <c r="N9" i="5"/>
  <c r="M8" i="5"/>
  <c r="N8" i="5"/>
  <c r="N7" i="5"/>
  <c r="N6" i="5"/>
  <c r="K4" i="5"/>
  <c r="J4" i="5"/>
  <c r="L48" i="2"/>
  <c r="M48" i="2"/>
  <c r="N48" i="2"/>
  <c r="L49" i="2"/>
  <c r="M49" i="2"/>
  <c r="N49" i="2"/>
  <c r="L50" i="2"/>
  <c r="M50" i="2"/>
  <c r="N50" i="2"/>
  <c r="L51" i="2"/>
  <c r="M51" i="2"/>
  <c r="N51" i="2"/>
  <c r="L43" i="2"/>
  <c r="M43" i="2"/>
  <c r="N43" i="2"/>
  <c r="L44" i="2"/>
  <c r="M44" i="2"/>
  <c r="N44" i="2"/>
  <c r="L45" i="2"/>
  <c r="M45" i="2"/>
  <c r="N45" i="2"/>
  <c r="J57" i="2"/>
  <c r="K57" i="2" s="1"/>
  <c r="J33" i="2"/>
  <c r="K33" i="2" s="1"/>
  <c r="N24" i="2"/>
  <c r="M22" i="2"/>
  <c r="M25" i="2" s="1"/>
  <c r="N21" i="2"/>
  <c r="G21" i="2"/>
  <c r="G22" i="2" s="1"/>
  <c r="G25" i="2" s="1"/>
  <c r="M19" i="2"/>
  <c r="L19" i="2"/>
  <c r="N19" i="2" s="1"/>
  <c r="G19" i="2"/>
  <c r="M18" i="2"/>
  <c r="M16" i="2"/>
  <c r="L16" i="2"/>
  <c r="L22" i="2" s="1"/>
  <c r="K16" i="2"/>
  <c r="K19" i="2" s="1"/>
  <c r="J16" i="2"/>
  <c r="J22" i="2" s="1"/>
  <c r="J25" i="2" s="1"/>
  <c r="G16" i="2"/>
  <c r="N15" i="2"/>
  <c r="M13" i="2"/>
  <c r="L13" i="2"/>
  <c r="N13" i="2" s="1"/>
  <c r="K13" i="2"/>
  <c r="K43" i="2" s="1"/>
  <c r="J13" i="2"/>
  <c r="I13" i="2"/>
  <c r="I16" i="2" s="1"/>
  <c r="H13" i="2"/>
  <c r="H16" i="2" s="1"/>
  <c r="G13" i="2"/>
  <c r="N12" i="2"/>
  <c r="N11" i="2"/>
  <c r="J9" i="2"/>
  <c r="K9" i="2" s="1"/>
  <c r="M18" i="1"/>
  <c r="N12" i="1"/>
  <c r="N13" i="1"/>
  <c r="N14" i="1"/>
  <c r="N15" i="1"/>
  <c r="N16" i="1"/>
  <c r="N17" i="1"/>
  <c r="N20" i="1"/>
  <c r="N21" i="1"/>
  <c r="N22" i="1"/>
  <c r="N23" i="1"/>
  <c r="N24" i="1"/>
  <c r="N25" i="1"/>
  <c r="N11" i="1"/>
  <c r="L13" i="1"/>
  <c r="M13" i="1"/>
  <c r="L16" i="1"/>
  <c r="L19" i="1" s="1"/>
  <c r="M16" i="1"/>
  <c r="M19" i="1"/>
  <c r="N19" i="1" s="1"/>
  <c r="M22" i="1"/>
  <c r="M25" i="1" s="1"/>
  <c r="G62" i="5"/>
  <c r="G58" i="5"/>
  <c r="G61" i="5" s="1"/>
  <c r="I56" i="5"/>
  <c r="I58" i="5" s="1"/>
  <c r="I61" i="5" s="1"/>
  <c r="I62" i="5" s="1"/>
  <c r="G56" i="5"/>
  <c r="I52" i="5"/>
  <c r="K52" i="5"/>
  <c r="K56" i="5" s="1"/>
  <c r="K58" i="5" s="1"/>
  <c r="K61" i="5" s="1"/>
  <c r="K62" i="5" s="1"/>
  <c r="G52" i="5"/>
  <c r="H43" i="5"/>
  <c r="I43" i="5"/>
  <c r="J43" i="5"/>
  <c r="K43" i="5"/>
  <c r="L43" i="5"/>
  <c r="G43" i="5"/>
  <c r="L20" i="5"/>
  <c r="H21" i="5"/>
  <c r="I21" i="5"/>
  <c r="J21" i="5"/>
  <c r="K21" i="5"/>
  <c r="G21" i="5"/>
  <c r="L30" i="5"/>
  <c r="H31" i="5"/>
  <c r="I31" i="5"/>
  <c r="J31" i="5"/>
  <c r="K31" i="5"/>
  <c r="G31" i="5"/>
  <c r="L8" i="5"/>
  <c r="L9" i="5" s="1"/>
  <c r="J17" i="5"/>
  <c r="H17" i="5"/>
  <c r="I17" i="5"/>
  <c r="K17" i="5"/>
  <c r="G17" i="5"/>
  <c r="H13" i="5"/>
  <c r="I13" i="5"/>
  <c r="J13" i="5"/>
  <c r="K13" i="5"/>
  <c r="G13" i="5"/>
  <c r="H9" i="5"/>
  <c r="I9" i="5"/>
  <c r="J9" i="5"/>
  <c r="K9" i="5"/>
  <c r="G9" i="5"/>
  <c r="G107" i="2"/>
  <c r="D118" i="2"/>
  <c r="D117" i="2"/>
  <c r="H155" i="4"/>
  <c r="H154" i="4"/>
  <c r="H153" i="4"/>
  <c r="H157" i="4" s="1"/>
  <c r="K144" i="4"/>
  <c r="K119" i="4"/>
  <c r="K120" i="4"/>
  <c r="K121" i="4"/>
  <c r="K122" i="4"/>
  <c r="K123" i="4"/>
  <c r="K126" i="4"/>
  <c r="K127" i="4"/>
  <c r="K128" i="4"/>
  <c r="K129" i="4"/>
  <c r="K130" i="4"/>
  <c r="K131" i="4"/>
  <c r="K134" i="4"/>
  <c r="K135" i="4"/>
  <c r="K136" i="4"/>
  <c r="K137" i="4"/>
  <c r="K138" i="4"/>
  <c r="K141" i="4"/>
  <c r="K142" i="4"/>
  <c r="K143" i="4"/>
  <c r="K118" i="4"/>
  <c r="G137" i="4"/>
  <c r="G139" i="4" s="1"/>
  <c r="G146" i="4" s="1"/>
  <c r="G131" i="4"/>
  <c r="G124" i="4"/>
  <c r="G132" i="4" s="1"/>
  <c r="I83" i="2"/>
  <c r="J83" i="2" s="1"/>
  <c r="K83" i="2" s="1"/>
  <c r="I80" i="2"/>
  <c r="J80" i="2" s="1"/>
  <c r="K80" i="2" s="1"/>
  <c r="J77" i="2"/>
  <c r="K77" i="2"/>
  <c r="I77" i="2"/>
  <c r="H94" i="2"/>
  <c r="I94" i="2"/>
  <c r="J94" i="2"/>
  <c r="K94" i="2"/>
  <c r="G94" i="2"/>
  <c r="D115" i="2" s="1"/>
  <c r="D116" i="2" s="1"/>
  <c r="I90" i="2"/>
  <c r="J90" i="2"/>
  <c r="K90" i="2"/>
  <c r="H90" i="2"/>
  <c r="G90" i="2"/>
  <c r="M20" i="4" l="1"/>
  <c r="H19" i="2"/>
  <c r="H22" i="2"/>
  <c r="H25" i="2" s="1"/>
  <c r="I19" i="2"/>
  <c r="I22" i="2"/>
  <c r="I25" i="2" s="1"/>
  <c r="N22" i="2"/>
  <c r="L25" i="2"/>
  <c r="N25" i="2" s="1"/>
  <c r="N16" i="2"/>
  <c r="J19" i="2"/>
  <c r="K22" i="2"/>
  <c r="K25" i="2" s="1"/>
  <c r="L22" i="1"/>
  <c r="L25" i="1" s="1"/>
  <c r="L12" i="5"/>
  <c r="K139" i="4"/>
  <c r="K124" i="4"/>
  <c r="K132" i="4" s="1"/>
  <c r="O118" i="4" s="1"/>
  <c r="L13" i="5" l="1"/>
  <c r="L24" i="5"/>
  <c r="L27" i="5" s="1"/>
  <c r="L16" i="5"/>
  <c r="L17" i="5" s="1"/>
  <c r="K146" i="4"/>
  <c r="O119" i="4"/>
  <c r="O120" i="4" s="1"/>
  <c r="O123" i="4" s="1"/>
  <c r="G76" i="2" l="1"/>
  <c r="H76" i="2" s="1"/>
  <c r="G78" i="2"/>
  <c r="H51" i="2"/>
  <c r="I51" i="2"/>
  <c r="J51" i="2"/>
  <c r="K51" i="2"/>
  <c r="G51" i="2"/>
  <c r="I109" i="4"/>
  <c r="I106" i="4"/>
  <c r="J107" i="4"/>
  <c r="K107" i="4"/>
  <c r="I107" i="4"/>
  <c r="L96" i="4"/>
  <c r="L97" i="4" s="1"/>
  <c r="I96" i="4"/>
  <c r="I97" i="4" s="1"/>
  <c r="J96" i="4"/>
  <c r="J97" i="4" s="1"/>
  <c r="K96" i="4"/>
  <c r="K97" i="4" s="1"/>
  <c r="K98" i="4" s="1"/>
  <c r="H96" i="4"/>
  <c r="H97" i="4" s="1"/>
  <c r="L73" i="4"/>
  <c r="L74" i="4"/>
  <c r="L75" i="4"/>
  <c r="L59" i="4"/>
  <c r="L61" i="4" s="1"/>
  <c r="L51" i="4"/>
  <c r="L63" i="4" s="1"/>
  <c r="L41" i="4"/>
  <c r="L42" i="4"/>
  <c r="L43" i="4"/>
  <c r="L44" i="4"/>
  <c r="L25" i="4"/>
  <c r="L27" i="4" s="1"/>
  <c r="L34" i="4" s="1"/>
  <c r="L19" i="4"/>
  <c r="L12" i="4"/>
  <c r="L47" i="4" s="1"/>
  <c r="L49" i="4" s="1"/>
  <c r="I79" i="4"/>
  <c r="J79" i="4"/>
  <c r="K79" i="4"/>
  <c r="L79" i="4" s="1"/>
  <c r="H79" i="4"/>
  <c r="I75" i="4"/>
  <c r="J75" i="4"/>
  <c r="K75" i="4"/>
  <c r="H75" i="4"/>
  <c r="I73" i="4"/>
  <c r="J73" i="4"/>
  <c r="K73" i="4"/>
  <c r="I74" i="4"/>
  <c r="J74" i="4"/>
  <c r="K74" i="4"/>
  <c r="H74" i="4"/>
  <c r="H73" i="4"/>
  <c r="G64" i="4"/>
  <c r="G63" i="4"/>
  <c r="H60" i="4"/>
  <c r="I60" i="4"/>
  <c r="J60" i="4"/>
  <c r="K60" i="4"/>
  <c r="H59" i="4"/>
  <c r="H66" i="4" s="1"/>
  <c r="I59" i="4"/>
  <c r="J59" i="4"/>
  <c r="K59" i="4"/>
  <c r="G59" i="4"/>
  <c r="I51" i="4"/>
  <c r="I63" i="4" s="1"/>
  <c r="J51" i="4"/>
  <c r="J63" i="4" s="1"/>
  <c r="K51" i="4"/>
  <c r="K63" i="4" s="1"/>
  <c r="H51" i="4"/>
  <c r="H63" i="4" s="1"/>
  <c r="I41" i="4"/>
  <c r="J41" i="4"/>
  <c r="K41" i="4"/>
  <c r="I42" i="4"/>
  <c r="J42" i="4"/>
  <c r="K42" i="4"/>
  <c r="I43" i="4"/>
  <c r="J43" i="4"/>
  <c r="K43" i="4"/>
  <c r="I44" i="4"/>
  <c r="J44" i="4"/>
  <c r="K44" i="4"/>
  <c r="H44" i="4"/>
  <c r="H42" i="4"/>
  <c r="H43" i="4"/>
  <c r="H41" i="4"/>
  <c r="K27" i="4"/>
  <c r="K34" i="4" s="1"/>
  <c r="J27" i="4"/>
  <c r="J34" i="4" s="1"/>
  <c r="I27" i="4"/>
  <c r="I34" i="4" s="1"/>
  <c r="H27" i="4"/>
  <c r="H34" i="4" s="1"/>
  <c r="K12" i="4"/>
  <c r="K20" i="4" s="1"/>
  <c r="K106" i="4" s="1"/>
  <c r="J12" i="4"/>
  <c r="J20" i="4" s="1"/>
  <c r="J106" i="4" s="1"/>
  <c r="I12" i="4"/>
  <c r="I20" i="4" s="1"/>
  <c r="H12" i="4"/>
  <c r="H20" i="4" s="1"/>
  <c r="J4" i="4"/>
  <c r="K4" i="4" s="1"/>
  <c r="G44" i="4"/>
  <c r="G43" i="4"/>
  <c r="H68" i="2"/>
  <c r="I68" i="2"/>
  <c r="J68" i="2"/>
  <c r="K68" i="2"/>
  <c r="H69" i="2"/>
  <c r="I69" i="2"/>
  <c r="J69" i="2"/>
  <c r="K69" i="2"/>
  <c r="G69" i="2"/>
  <c r="G68" i="2"/>
  <c r="H63" i="2"/>
  <c r="I63" i="2"/>
  <c r="J63" i="2"/>
  <c r="K63" i="2"/>
  <c r="G63" i="2"/>
  <c r="H62" i="2"/>
  <c r="I62" i="2"/>
  <c r="J62" i="2"/>
  <c r="K62" i="2"/>
  <c r="G62" i="2"/>
  <c r="H48" i="2"/>
  <c r="I48" i="2"/>
  <c r="J48" i="2"/>
  <c r="K48" i="2"/>
  <c r="H49" i="2"/>
  <c r="I49" i="2"/>
  <c r="J49" i="2"/>
  <c r="K49" i="2"/>
  <c r="G49" i="2"/>
  <c r="G48" i="2"/>
  <c r="I36" i="2"/>
  <c r="J36" i="2"/>
  <c r="K36" i="2"/>
  <c r="H36" i="2"/>
  <c r="J44" i="2"/>
  <c r="I44" i="2"/>
  <c r="H44" i="2"/>
  <c r="G45" i="2"/>
  <c r="H88" i="1"/>
  <c r="I81" i="1"/>
  <c r="I88" i="1" s="1"/>
  <c r="J81" i="1"/>
  <c r="J88" i="1" s="1"/>
  <c r="K81" i="1"/>
  <c r="K88" i="1" s="1"/>
  <c r="H81" i="1"/>
  <c r="I66" i="1"/>
  <c r="I74" i="1" s="1"/>
  <c r="J66" i="1"/>
  <c r="J74" i="1" s="1"/>
  <c r="K66" i="1"/>
  <c r="K74" i="1" s="1"/>
  <c r="H66" i="1"/>
  <c r="H74" i="1" s="1"/>
  <c r="J58" i="1"/>
  <c r="K58" i="1" s="1"/>
  <c r="G44" i="1"/>
  <c r="H44" i="1"/>
  <c r="I44" i="1"/>
  <c r="J44" i="1"/>
  <c r="K44" i="1"/>
  <c r="H50" i="1"/>
  <c r="I50" i="1"/>
  <c r="J50" i="1"/>
  <c r="K50" i="1"/>
  <c r="G50" i="1"/>
  <c r="H34" i="1"/>
  <c r="I34" i="1"/>
  <c r="J34" i="1"/>
  <c r="K34" i="1"/>
  <c r="G34" i="1"/>
  <c r="J31" i="1"/>
  <c r="K31" i="1" s="1"/>
  <c r="G21" i="1"/>
  <c r="G13" i="1"/>
  <c r="G16" i="1" s="1"/>
  <c r="G22" i="1" s="1"/>
  <c r="G25" i="1" s="1"/>
  <c r="G33" i="1" s="1"/>
  <c r="I13" i="1"/>
  <c r="I16" i="1" s="1"/>
  <c r="I19" i="1" s="1"/>
  <c r="J13" i="1"/>
  <c r="J16" i="1" s="1"/>
  <c r="J19" i="1" s="1"/>
  <c r="K13" i="1"/>
  <c r="K16" i="1" s="1"/>
  <c r="K22" i="1" s="1"/>
  <c r="K25" i="1" s="1"/>
  <c r="K33" i="1" s="1"/>
  <c r="H13" i="1"/>
  <c r="H16" i="1" s="1"/>
  <c r="J9" i="1"/>
  <c r="K9" i="1" s="1"/>
  <c r="K102" i="2" l="1"/>
  <c r="J102" i="2"/>
  <c r="I102" i="2"/>
  <c r="H102" i="2"/>
  <c r="G102" i="2"/>
  <c r="G106" i="2" s="1"/>
  <c r="K109" i="4"/>
  <c r="J109" i="4"/>
  <c r="J98" i="4"/>
  <c r="G81" i="2"/>
  <c r="K76" i="2"/>
  <c r="I76" i="2"/>
  <c r="I81" i="2" s="1"/>
  <c r="I84" i="2" s="1"/>
  <c r="I87" i="2" s="1"/>
  <c r="J76" i="2"/>
  <c r="H81" i="2"/>
  <c r="H84" i="2" s="1"/>
  <c r="H87" i="2" s="1"/>
  <c r="J43" i="2"/>
  <c r="I43" i="2"/>
  <c r="H43" i="2"/>
  <c r="G43" i="2"/>
  <c r="G77" i="2"/>
  <c r="K65" i="2"/>
  <c r="I65" i="2"/>
  <c r="J65" i="2"/>
  <c r="H65" i="2"/>
  <c r="L98" i="4"/>
  <c r="I98" i="4"/>
  <c r="I88" i="4"/>
  <c r="K61" i="4"/>
  <c r="J61" i="4"/>
  <c r="H45" i="4"/>
  <c r="H52" i="4" s="1"/>
  <c r="H64" i="4" s="1"/>
  <c r="I61" i="4"/>
  <c r="J87" i="4"/>
  <c r="L66" i="4"/>
  <c r="K87" i="4"/>
  <c r="L45" i="4"/>
  <c r="J66" i="4"/>
  <c r="K88" i="4"/>
  <c r="I66" i="4"/>
  <c r="J88" i="4"/>
  <c r="L80" i="4"/>
  <c r="L81" i="4"/>
  <c r="L82" i="4"/>
  <c r="L88" i="4"/>
  <c r="J81" i="4"/>
  <c r="I81" i="4"/>
  <c r="K82" i="4"/>
  <c r="L76" i="4"/>
  <c r="L83" i="4" s="1"/>
  <c r="K76" i="4"/>
  <c r="K83" i="4" s="1"/>
  <c r="J82" i="4"/>
  <c r="J76" i="4"/>
  <c r="J83" i="4" s="1"/>
  <c r="I82" i="4"/>
  <c r="I86" i="4"/>
  <c r="I87" i="4"/>
  <c r="K66" i="4"/>
  <c r="H82" i="4"/>
  <c r="L20" i="4"/>
  <c r="H76" i="4"/>
  <c r="H83" i="4" s="1"/>
  <c r="I76" i="4"/>
  <c r="I83" i="4" s="1"/>
  <c r="H80" i="4"/>
  <c r="K81" i="4"/>
  <c r="H81" i="4"/>
  <c r="K80" i="4"/>
  <c r="I80" i="4"/>
  <c r="K86" i="4"/>
  <c r="J80" i="4"/>
  <c r="J86" i="4"/>
  <c r="H61" i="4"/>
  <c r="K45" i="4"/>
  <c r="J45" i="4"/>
  <c r="J52" i="4" s="1"/>
  <c r="J64" i="4" s="1"/>
  <c r="I45" i="4"/>
  <c r="I52" i="4" s="1"/>
  <c r="I64" i="4" s="1"/>
  <c r="K47" i="4"/>
  <c r="K49" i="4" s="1"/>
  <c r="H47" i="4"/>
  <c r="H49" i="4" s="1"/>
  <c r="J47" i="4"/>
  <c r="J49" i="4" s="1"/>
  <c r="I47" i="4"/>
  <c r="I49" i="4" s="1"/>
  <c r="I37" i="2"/>
  <c r="H38" i="2"/>
  <c r="I38" i="2"/>
  <c r="H37" i="2"/>
  <c r="K37" i="2"/>
  <c r="K38" i="2"/>
  <c r="J37" i="2"/>
  <c r="J38" i="2"/>
  <c r="G44" i="2"/>
  <c r="K44" i="2"/>
  <c r="G80" i="2" s="1"/>
  <c r="G103" i="2" s="1"/>
  <c r="K19" i="1"/>
  <c r="I22" i="1"/>
  <c r="I25" i="1" s="1"/>
  <c r="I33" i="1" s="1"/>
  <c r="H19" i="1"/>
  <c r="H22" i="1"/>
  <c r="H25" i="1" s="1"/>
  <c r="H33" i="1" s="1"/>
  <c r="J22" i="1"/>
  <c r="J25" i="1" s="1"/>
  <c r="J33" i="1" s="1"/>
  <c r="G19" i="1"/>
  <c r="H104" i="2" l="1"/>
  <c r="H110" i="2" s="1"/>
  <c r="H107" i="2"/>
  <c r="I104" i="2"/>
  <c r="I107" i="2"/>
  <c r="G104" i="2"/>
  <c r="G110" i="2" s="1"/>
  <c r="J104" i="2"/>
  <c r="J110" i="2" s="1"/>
  <c r="J107" i="2"/>
  <c r="K104" i="2"/>
  <c r="K110" i="2" s="1"/>
  <c r="K107" i="2"/>
  <c r="K52" i="4"/>
  <c r="K64" i="4" s="1"/>
  <c r="G89" i="2"/>
  <c r="L52" i="4"/>
  <c r="L64" i="4" s="1"/>
  <c r="J89" i="2"/>
  <c r="H89" i="2"/>
  <c r="H92" i="2" s="1"/>
  <c r="H95" i="2" s="1"/>
  <c r="K89" i="2"/>
  <c r="I89" i="2"/>
  <c r="I92" i="2" s="1"/>
  <c r="I95" i="2" s="1"/>
  <c r="L89" i="4"/>
  <c r="K50" i="2"/>
  <c r="G83" i="2" s="1"/>
  <c r="G84" i="2" s="1"/>
  <c r="G87" i="2" s="1"/>
  <c r="J78" i="2"/>
  <c r="J81" i="2"/>
  <c r="J84" i="2" s="1"/>
  <c r="J87" i="2" s="1"/>
  <c r="K78" i="2"/>
  <c r="K81" i="2"/>
  <c r="K84" i="2" s="1"/>
  <c r="K87" i="2" s="1"/>
  <c r="I78" i="2"/>
  <c r="H78" i="2"/>
  <c r="L100" i="4"/>
  <c r="L103" i="4" s="1"/>
  <c r="I89" i="4"/>
  <c r="J89" i="4"/>
  <c r="K89" i="4"/>
  <c r="J45" i="2"/>
  <c r="J39" i="2"/>
  <c r="I45" i="2"/>
  <c r="I39" i="2"/>
  <c r="H45" i="2"/>
  <c r="H39" i="2"/>
  <c r="K45" i="2"/>
  <c r="K39" i="2"/>
  <c r="G50" i="2"/>
  <c r="J50" i="2"/>
  <c r="I50" i="2"/>
  <c r="H50" i="2"/>
  <c r="I108" i="2" l="1"/>
  <c r="I111" i="2" s="1"/>
  <c r="I110" i="2"/>
  <c r="J108" i="2"/>
  <c r="J111" i="2" s="1"/>
  <c r="G108" i="2"/>
  <c r="G111" i="2" s="1"/>
  <c r="K108" i="2"/>
  <c r="K111" i="2" s="1"/>
  <c r="H108" i="2"/>
  <c r="H111" i="2" s="1"/>
  <c r="K92" i="2"/>
  <c r="K95" i="2" s="1"/>
  <c r="J92" i="2"/>
  <c r="J95" i="2" s="1"/>
  <c r="I100" i="4"/>
  <c r="I103" i="4" s="1"/>
  <c r="J100" i="4"/>
  <c r="J103" i="4" s="1"/>
  <c r="K100" i="4"/>
  <c r="L101" i="4" s="1"/>
  <c r="L104" i="4" s="1"/>
  <c r="H100" i="4"/>
  <c r="H103" i="4" s="1"/>
  <c r="J40" i="2"/>
  <c r="K40" i="2"/>
  <c r="H40" i="2"/>
  <c r="I40" i="2"/>
  <c r="J101" i="4" l="1"/>
  <c r="J104" i="4" s="1"/>
  <c r="I101" i="4"/>
  <c r="I104" i="4" s="1"/>
  <c r="K103" i="4"/>
  <c r="K101" i="4"/>
  <c r="K104" i="4" s="1"/>
  <c r="G92" i="2" l="1"/>
  <c r="G95" i="2" s="1"/>
</calcChain>
</file>

<file path=xl/sharedStrings.xml><?xml version="1.0" encoding="utf-8"?>
<sst xmlns="http://schemas.openxmlformats.org/spreadsheetml/2006/main" count="410" uniqueCount="168">
  <si>
    <t>By Deep Value Medici</t>
  </si>
  <si>
    <t>Income Statement</t>
  </si>
  <si>
    <t>Gross Profit</t>
  </si>
  <si>
    <t>SG&amp;A</t>
  </si>
  <si>
    <t>Oddity Tech Ltd.</t>
  </si>
  <si>
    <t>Revenue</t>
  </si>
  <si>
    <t>In thousands</t>
  </si>
  <si>
    <t>Cost of Revenue</t>
  </si>
  <si>
    <t>EBIT</t>
  </si>
  <si>
    <t>Depreciation</t>
  </si>
  <si>
    <t>EBITDA</t>
  </si>
  <si>
    <t>Financial Income, Net</t>
  </si>
  <si>
    <t>EBT</t>
  </si>
  <si>
    <t>Taxes</t>
  </si>
  <si>
    <t>Net Income</t>
  </si>
  <si>
    <t>Cash Flow Statement</t>
  </si>
  <si>
    <t>Depreciation &amp; Amortization</t>
  </si>
  <si>
    <t>Stock Based Comp</t>
  </si>
  <si>
    <t>Cash From Operations</t>
  </si>
  <si>
    <t>Change in Working Capital, net</t>
  </si>
  <si>
    <t>Maintence Capex (PP&amp;E)</t>
  </si>
  <si>
    <t>Acquisitions</t>
  </si>
  <si>
    <t>Growth Capex (Software &amp; Intangibles)</t>
  </si>
  <si>
    <t>Other Investing</t>
  </si>
  <si>
    <t>Cash From Investing</t>
  </si>
  <si>
    <t>Debt Issued (Repaid)</t>
  </si>
  <si>
    <t>Equity Issuance</t>
  </si>
  <si>
    <t>Share Repurchases</t>
  </si>
  <si>
    <t>Cash From Financing</t>
  </si>
  <si>
    <t>Other Financing</t>
  </si>
  <si>
    <t>Treasury Investments, net</t>
  </si>
  <si>
    <t>Ending Cash Balance</t>
  </si>
  <si>
    <t>Balance Sheet</t>
  </si>
  <si>
    <t>Cash &amp; Equivalents</t>
  </si>
  <si>
    <t>Accounts Receivable</t>
  </si>
  <si>
    <t>Inventory</t>
  </si>
  <si>
    <t>Other Current Assets</t>
  </si>
  <si>
    <t>Total Current Assets</t>
  </si>
  <si>
    <t>PP&amp;E</t>
  </si>
  <si>
    <t>Intangible Assets</t>
  </si>
  <si>
    <t>Goodwill</t>
  </si>
  <si>
    <t>Deferred Tax Assets</t>
  </si>
  <si>
    <t>Other Long-Term Assets</t>
  </si>
  <si>
    <t>Total Assets</t>
  </si>
  <si>
    <t>X</t>
  </si>
  <si>
    <t>Accounts Payable</t>
  </si>
  <si>
    <t>Accrued Liabilities</t>
  </si>
  <si>
    <t>Debt</t>
  </si>
  <si>
    <t>- Not all Securities Current Asset</t>
  </si>
  <si>
    <t>Lease Liabilities</t>
  </si>
  <si>
    <t>Other Liabilities</t>
  </si>
  <si>
    <t>Total Liabilities</t>
  </si>
  <si>
    <t>Additional Paid-In Capital</t>
  </si>
  <si>
    <t>Retained Earnings</t>
  </si>
  <si>
    <t>AOCI</t>
  </si>
  <si>
    <t>Total Equity</t>
  </si>
  <si>
    <t>Total Liabilities and Equity</t>
  </si>
  <si>
    <t>Gross Margins</t>
  </si>
  <si>
    <t>Operating Margin (EBIT Margin)</t>
  </si>
  <si>
    <t>EBITDA Margin</t>
  </si>
  <si>
    <t>Margins:</t>
  </si>
  <si>
    <t>% of Revenue</t>
  </si>
  <si>
    <t>Tax Rate</t>
  </si>
  <si>
    <t>Growth:</t>
  </si>
  <si>
    <t>Revenue, Margin, % of Revenue</t>
  </si>
  <si>
    <t>Free Cash Flow</t>
  </si>
  <si>
    <t>Owner FCF</t>
  </si>
  <si>
    <t>FCF Growth</t>
  </si>
  <si>
    <t>Capex % of Revenue</t>
  </si>
  <si>
    <t>Capex, FCF</t>
  </si>
  <si>
    <t>Cash</t>
  </si>
  <si>
    <t>Liquidity</t>
  </si>
  <si>
    <t>Total Liquid Assets</t>
  </si>
  <si>
    <t>Current Assets</t>
  </si>
  <si>
    <t>Current Liabilities</t>
  </si>
  <si>
    <t>Short-Term Deposits</t>
  </si>
  <si>
    <t>Marketable Securities</t>
  </si>
  <si>
    <t>Current Ratio</t>
  </si>
  <si>
    <t>Net Debt (Cash)</t>
  </si>
  <si>
    <t>Marketable Securities, long term</t>
  </si>
  <si>
    <t>Marketable Securities, short term</t>
  </si>
  <si>
    <t>Capital Structure</t>
  </si>
  <si>
    <t>Total Debt</t>
  </si>
  <si>
    <t>Debt / EBITDA</t>
  </si>
  <si>
    <t>- under 3x is healthy position</t>
  </si>
  <si>
    <t>Debt / Equity</t>
  </si>
  <si>
    <t>Working Capital</t>
  </si>
  <si>
    <t>Net Working Capital</t>
  </si>
  <si>
    <t>% of Revenue:</t>
  </si>
  <si>
    <t>Days Sales Outstanding</t>
  </si>
  <si>
    <t>Days Inventory Outstanding</t>
  </si>
  <si>
    <t>Days Payable Outstanding</t>
  </si>
  <si>
    <t>Efficiency Ratios:</t>
  </si>
  <si>
    <t>Cash Conversion Cycle</t>
  </si>
  <si>
    <t>Excellent (Direct to Consumer pay quickly)</t>
  </si>
  <si>
    <t>Very Stable. Inventory turning remains consistnent despite growth</t>
  </si>
  <si>
    <t>Fairly consistent. Management not stretching suppliers to generate cash</t>
  </si>
  <si>
    <t>Strong. Busines converts inventory to cash in about 20-25 days</t>
  </si>
  <si>
    <t>Returns on Capital</t>
  </si>
  <si>
    <t>Net Debt (Liquid Assets)</t>
  </si>
  <si>
    <t>Invested Capital</t>
  </si>
  <si>
    <t>NOPAT</t>
  </si>
  <si>
    <t>ROIC</t>
  </si>
  <si>
    <t>Incremental ROIC</t>
  </si>
  <si>
    <t>ROE</t>
  </si>
  <si>
    <t>ROA</t>
  </si>
  <si>
    <t>Asset Turnover</t>
  </si>
  <si>
    <t>Operating NWC</t>
  </si>
  <si>
    <t>Average Invested Capital</t>
  </si>
  <si>
    <t>Incremental NOPAT</t>
  </si>
  <si>
    <t>Normalized Earnings &amp; EPV</t>
  </si>
  <si>
    <t>Gross Margin</t>
  </si>
  <si>
    <t>Other Relevant Costs:</t>
  </si>
  <si>
    <t>Advertising</t>
  </si>
  <si>
    <t>EBIT Margin</t>
  </si>
  <si>
    <t>Normalized NOPAT</t>
  </si>
  <si>
    <t>Normalized EBIT</t>
  </si>
  <si>
    <t>Bear</t>
  </si>
  <si>
    <t>Base</t>
  </si>
  <si>
    <t>Bull</t>
  </si>
  <si>
    <t>V Bull</t>
  </si>
  <si>
    <t>Liquid Assets</t>
  </si>
  <si>
    <t>Capitalization Rate</t>
  </si>
  <si>
    <t>EPV Operations</t>
  </si>
  <si>
    <t>Equity Value</t>
  </si>
  <si>
    <t>Diluted Shares</t>
  </si>
  <si>
    <t>Value per Share</t>
  </si>
  <si>
    <t>Replacement Costs Estimates (Greenwald)</t>
  </si>
  <si>
    <t>%</t>
  </si>
  <si>
    <t>RC</t>
  </si>
  <si>
    <t>Equation</t>
  </si>
  <si>
    <t>Shares</t>
  </si>
  <si>
    <t>Equity</t>
  </si>
  <si>
    <t>RV per Share</t>
  </si>
  <si>
    <t>Customer Acquisition Replacement Value:</t>
  </si>
  <si>
    <t>Advertising Asset</t>
  </si>
  <si>
    <t>Spend</t>
  </si>
  <si>
    <t>Value</t>
  </si>
  <si>
    <t>Advertising Asset Total</t>
  </si>
  <si>
    <t>EV/EBITDA &amp; EV/EBIT</t>
  </si>
  <si>
    <t>Bear (-35%)</t>
  </si>
  <si>
    <t>Base (-30%)</t>
  </si>
  <si>
    <t>Bull (-25%)</t>
  </si>
  <si>
    <t>V Bull (-20%)</t>
  </si>
  <si>
    <t>D&amp;A % of Revenue</t>
  </si>
  <si>
    <t>D&amp;A</t>
  </si>
  <si>
    <t>EV / EBITDA</t>
  </si>
  <si>
    <t>EV / EBIT</t>
  </si>
  <si>
    <t>Price</t>
  </si>
  <si>
    <t>Market Cap</t>
  </si>
  <si>
    <t>EV</t>
  </si>
  <si>
    <t>EV Q1 26:</t>
  </si>
  <si>
    <t>Profit Margin</t>
  </si>
  <si>
    <t>Operating Margin</t>
  </si>
  <si>
    <t>Q1 2026A</t>
  </si>
  <si>
    <t>% of SG&amp;A</t>
  </si>
  <si>
    <t>Income Statements</t>
  </si>
  <si>
    <t>Delayed Fix</t>
  </si>
  <si>
    <t>Partial Normalization</t>
  </si>
  <si>
    <t>Full Normalization</t>
  </si>
  <si>
    <t>Enterprise Value</t>
  </si>
  <si>
    <t>Net Cash</t>
  </si>
  <si>
    <t>Implied Price</t>
  </si>
  <si>
    <t>Return to $12.50</t>
  </si>
  <si>
    <t>2028 Valuation w/ Different CAC Scenarios</t>
  </si>
  <si>
    <t>Q1 2026</t>
  </si>
  <si>
    <t>Q2 2026</t>
  </si>
  <si>
    <t>H12026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</si>
</sst>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164" formatCode="####\A"/>
    <numFmt numFmtId="165" formatCode="0&quot;E&quot;"/>
    <numFmt numFmtId="166" formatCode="0.0%"/>
    <numFmt numFmtId="167" formatCode="0.00\x"/>
    <numFmt numFmtId="168" formatCode="0.0\x"/>
  </numFmts>
  <fonts count="12" x14ac:knownFonts="1">
    <font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20"/>
      <color theme="0"/>
      <name val="Times New Roman"/>
      <family val="1"/>
    </font>
    <font>
      <sz val="12"/>
      <color theme="0"/>
      <name val="Times New Roman"/>
      <family val="1"/>
    </font>
    <font>
      <sz val="12"/>
      <color theme="1"/>
      <name val="Times New Roman"/>
      <family val="1"/>
    </font>
    <font>
      <sz val="12"/>
      <color theme="3" tint="0.499984740745262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4"/>
      <color theme="0"/>
      <name val="Times New Roman"/>
      <family val="1"/>
    </font>
    <font>
      <sz val="16"/>
      <color theme="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01E3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3" tint="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3" fillId="0" borderId="0" xfId="0" applyFont="1"/>
    <xf numFmtId="0" fontId="4" fillId="0" borderId="0" xfId="0" applyFont="1"/>
    <xf numFmtId="164" fontId="4" fillId="0" borderId="1" xfId="0" applyNumberFormat="1" applyFont="1" applyBorder="1"/>
    <xf numFmtId="37" fontId="5" fillId="0" borderId="1" xfId="0" applyNumberFormat="1" applyFont="1" applyBorder="1"/>
    <xf numFmtId="0" fontId="6" fillId="0" borderId="0" xfId="0" applyFont="1"/>
    <xf numFmtId="164" fontId="4" fillId="0" borderId="0" xfId="0" applyNumberFormat="1" applyFont="1"/>
    <xf numFmtId="37" fontId="5" fillId="0" borderId="0" xfId="0" applyNumberFormat="1" applyFont="1"/>
    <xf numFmtId="37" fontId="6" fillId="0" borderId="0" xfId="0" applyNumberFormat="1" applyFont="1"/>
    <xf numFmtId="0" fontId="4" fillId="0" borderId="0" xfId="0" applyFont="1" applyAlignment="1">
      <alignment horizontal="left" indent="3"/>
    </xf>
    <xf numFmtId="0" fontId="7" fillId="0" borderId="0" xfId="0" applyFont="1"/>
    <xf numFmtId="165" fontId="5" fillId="0" borderId="0" xfId="0" applyNumberFormat="1" applyFont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2" borderId="0" xfId="0" applyFont="1" applyFill="1"/>
    <xf numFmtId="0" fontId="9" fillId="2" borderId="0" xfId="0" applyFont="1" applyFill="1"/>
    <xf numFmtId="37" fontId="4" fillId="0" borderId="0" xfId="0" applyNumberFormat="1" applyFont="1"/>
    <xf numFmtId="165" fontId="4" fillId="0" borderId="0" xfId="0" applyNumberFormat="1" applyFont="1"/>
    <xf numFmtId="37" fontId="5" fillId="0" borderId="0" xfId="0" applyNumberFormat="1" applyFont="1" applyAlignment="1">
      <alignment horizontal="center"/>
    </xf>
    <xf numFmtId="37" fontId="5" fillId="0" borderId="1" xfId="0" applyNumberFormat="1" applyFont="1" applyBorder="1" applyAlignment="1">
      <alignment horizontal="center"/>
    </xf>
    <xf numFmtId="37" fontId="6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quotePrefix="1" applyFont="1"/>
    <xf numFmtId="166" fontId="4" fillId="0" borderId="0" xfId="1" applyNumberFormat="1" applyFont="1" applyFill="1" applyBorder="1"/>
    <xf numFmtId="166" fontId="10" fillId="0" borderId="0" xfId="1" applyNumberFormat="1" applyFont="1" applyFill="1" applyBorder="1"/>
    <xf numFmtId="0" fontId="4" fillId="0" borderId="0" xfId="0" applyFont="1" applyAlignment="1">
      <alignment horizontal="left" indent="2"/>
    </xf>
    <xf numFmtId="0" fontId="10" fillId="0" borderId="0" xfId="0" applyFont="1"/>
    <xf numFmtId="37" fontId="10" fillId="0" borderId="0" xfId="0" applyNumberFormat="1" applyFont="1" applyAlignment="1">
      <alignment horizontal="center"/>
    </xf>
    <xf numFmtId="37" fontId="10" fillId="0" borderId="0" xfId="0" applyNumberFormat="1" applyFont="1"/>
    <xf numFmtId="0" fontId="10" fillId="0" borderId="0" xfId="0" quotePrefix="1" applyFont="1"/>
    <xf numFmtId="0" fontId="11" fillId="0" borderId="0" xfId="0" applyFont="1"/>
    <xf numFmtId="37" fontId="11" fillId="0" borderId="0" xfId="0" applyNumberFormat="1" applyFont="1" applyAlignment="1">
      <alignment horizontal="center"/>
    </xf>
    <xf numFmtId="37" fontId="11" fillId="0" borderId="0" xfId="0" applyNumberFormat="1" applyFont="1"/>
    <xf numFmtId="167" fontId="6" fillId="0" borderId="0" xfId="0" applyNumberFormat="1" applyFont="1" applyAlignment="1">
      <alignment horizontal="center"/>
    </xf>
    <xf numFmtId="167" fontId="6" fillId="0" borderId="0" xfId="0" applyNumberFormat="1" applyFont="1"/>
    <xf numFmtId="167" fontId="5" fillId="0" borderId="0" xfId="0" applyNumberFormat="1" applyFont="1" applyAlignment="1">
      <alignment horizontal="center"/>
    </xf>
    <xf numFmtId="167" fontId="5" fillId="0" borderId="0" xfId="0" applyNumberFormat="1" applyFont="1"/>
    <xf numFmtId="167" fontId="10" fillId="0" borderId="0" xfId="0" applyNumberFormat="1" applyFont="1" applyAlignment="1">
      <alignment horizontal="center"/>
    </xf>
    <xf numFmtId="167" fontId="10" fillId="0" borderId="0" xfId="0" applyNumberFormat="1" applyFont="1"/>
    <xf numFmtId="166" fontId="4" fillId="0" borderId="0" xfId="1" applyNumberFormat="1" applyFont="1"/>
    <xf numFmtId="2" fontId="4" fillId="0" borderId="0" xfId="0" applyNumberFormat="1" applyFont="1"/>
    <xf numFmtId="37" fontId="10" fillId="0" borderId="1" xfId="0" applyNumberFormat="1" applyFont="1" applyBorder="1" applyAlignment="1">
      <alignment horizontal="center"/>
    </xf>
    <xf numFmtId="37" fontId="10" fillId="0" borderId="1" xfId="0" applyNumberFormat="1" applyFont="1" applyBorder="1"/>
    <xf numFmtId="167" fontId="4" fillId="0" borderId="0" xfId="0" applyNumberFormat="1" applyFont="1"/>
    <xf numFmtId="37" fontId="10" fillId="0" borderId="0" xfId="0" applyNumberFormat="1" applyFont="1" applyAlignment="1">
      <alignment horizontal="right"/>
    </xf>
    <xf numFmtId="164" fontId="4" fillId="0" borderId="1" xfId="0" applyNumberFormat="1" applyFont="1" applyBorder="1" applyAlignment="1">
      <alignment horizontal="right"/>
    </xf>
    <xf numFmtId="37" fontId="11" fillId="0" borderId="0" xfId="0" applyNumberFormat="1" applyFont="1" applyAlignment="1">
      <alignment horizontal="right"/>
    </xf>
    <xf numFmtId="164" fontId="6" fillId="0" borderId="1" xfId="0" applyNumberFormat="1" applyFont="1" applyBorder="1"/>
    <xf numFmtId="164" fontId="6" fillId="0" borderId="1" xfId="0" applyNumberFormat="1" applyFont="1" applyBorder="1" applyAlignment="1">
      <alignment horizontal="right"/>
    </xf>
    <xf numFmtId="39" fontId="11" fillId="0" borderId="0" xfId="0" applyNumberFormat="1" applyFont="1" applyAlignment="1">
      <alignment horizontal="right"/>
    </xf>
    <xf numFmtId="9" fontId="4" fillId="0" borderId="0" xfId="1" applyFont="1"/>
    <xf numFmtId="164" fontId="4" fillId="0" borderId="0" xfId="0" applyNumberFormat="1" applyFont="1" applyAlignment="1">
      <alignment horizontal="right"/>
    </xf>
    <xf numFmtId="9" fontId="4" fillId="0" borderId="0" xfId="1" applyFont="1" applyAlignment="1">
      <alignment horizontal="right"/>
    </xf>
    <xf numFmtId="37" fontId="4" fillId="0" borderId="0" xfId="0" applyNumberFormat="1" applyFont="1" applyAlignment="1">
      <alignment horizontal="right"/>
    </xf>
    <xf numFmtId="37" fontId="10" fillId="0" borderId="1" xfId="0" applyNumberFormat="1" applyFont="1" applyBorder="1" applyAlignment="1">
      <alignment horizontal="right"/>
    </xf>
    <xf numFmtId="164" fontId="6" fillId="0" borderId="1" xfId="0" applyNumberFormat="1" applyFont="1" applyBorder="1" applyAlignment="1">
      <alignment horizontal="center"/>
    </xf>
    <xf numFmtId="37" fontId="11" fillId="0" borderId="1" xfId="0" applyNumberFormat="1" applyFont="1" applyBorder="1"/>
    <xf numFmtId="166" fontId="10" fillId="0" borderId="1" xfId="0" applyNumberFormat="1" applyFont="1" applyBorder="1"/>
    <xf numFmtId="9" fontId="5" fillId="0" borderId="1" xfId="1" applyFont="1" applyBorder="1" applyAlignment="1">
      <alignment horizontal="right"/>
    </xf>
    <xf numFmtId="166" fontId="10" fillId="0" borderId="1" xfId="1" applyNumberFormat="1" applyFont="1" applyBorder="1" applyAlignment="1">
      <alignment horizontal="right"/>
    </xf>
    <xf numFmtId="166" fontId="5" fillId="0" borderId="1" xfId="1" applyNumberFormat="1" applyFont="1" applyBorder="1" applyAlignment="1">
      <alignment horizontal="right"/>
    </xf>
    <xf numFmtId="166" fontId="5" fillId="0" borderId="1" xfId="1" applyNumberFormat="1" applyFont="1" applyBorder="1"/>
    <xf numFmtId="9" fontId="5" fillId="0" borderId="1" xfId="0" applyNumberFormat="1" applyFont="1" applyBorder="1"/>
    <xf numFmtId="37" fontId="11" fillId="0" borderId="1" xfId="0" applyNumberFormat="1" applyFont="1" applyBorder="1" applyAlignment="1">
      <alignment horizontal="right"/>
    </xf>
    <xf numFmtId="10" fontId="10" fillId="0" borderId="0" xfId="1" applyNumberFormat="1" applyFont="1"/>
    <xf numFmtId="168" fontId="10" fillId="0" borderId="0" xfId="0" applyNumberFormat="1" applyFont="1"/>
    <xf numFmtId="9" fontId="6" fillId="0" borderId="0" xfId="1" applyFont="1"/>
    <xf numFmtId="166" fontId="6" fillId="0" borderId="0" xfId="1" applyNumberFormat="1" applyFont="1"/>
    <xf numFmtId="164" fontId="6" fillId="0" borderId="0" xfId="0" applyNumberFormat="1" applyFont="1"/>
    <xf numFmtId="8" fontId="4" fillId="0" borderId="0" xfId="0" applyNumberFormat="1" applyFont="1"/>
    <xf numFmtId="168" fontId="6" fillId="0" borderId="0" xfId="0" applyNumberFormat="1" applyFont="1"/>
    <xf numFmtId="39" fontId="6" fillId="0" borderId="0" xfId="0" applyNumberFormat="1" applyFont="1"/>
    <xf numFmtId="37" fontId="5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5ABC8-0081-41F2-8FFF-97EE54002464}">
  <dimension ref="B2:R88"/>
  <sheetViews>
    <sheetView showGridLines="0" zoomScaleNormal="100" workbookViewId="0">
      <selection activeCell="M18" sqref="M18:N25"/>
    </sheetView>
  </sheetViews>
  <sheetFormatPr defaultColWidth="9.140625" defaultRowHeight="15.75" x14ac:dyDescent="0.25"/>
  <cols>
    <col min="1" max="2" width="9.140625" style="4"/>
    <col min="3" max="3" width="9.42578125" style="4" customWidth="1"/>
    <col min="4" max="4" width="9.140625" style="4"/>
    <col min="5" max="5" width="10.140625" style="4" customWidth="1"/>
    <col min="6" max="6" width="9.140625" style="4"/>
    <col min="7" max="7" width="9.85546875" style="4" bestFit="1" customWidth="1"/>
    <col min="8" max="16" width="12.85546875" style="4" customWidth="1"/>
    <col min="17" max="16384" width="9.140625" style="4"/>
  </cols>
  <sheetData>
    <row r="2" spans="2:18" ht="26.25" x14ac:dyDescent="0.4">
      <c r="B2" s="1" t="s">
        <v>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3"/>
    </row>
    <row r="3" spans="2:18" ht="18.75" x14ac:dyDescent="0.3">
      <c r="B3" s="16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3"/>
      <c r="Q3" s="3"/>
      <c r="R3" s="3"/>
    </row>
    <row r="4" spans="2:18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6" spans="2:18" ht="26.25" x14ac:dyDescent="0.4">
      <c r="B6" s="1" t="s">
        <v>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3"/>
      <c r="P6" s="3"/>
      <c r="Q6" s="3"/>
      <c r="R6" s="3"/>
    </row>
    <row r="9" spans="2:18" ht="16.5" thickBot="1" x14ac:dyDescent="0.3">
      <c r="B9" s="12" t="s">
        <v>6</v>
      </c>
      <c r="G9" s="5">
        <v>2021</v>
      </c>
      <c r="H9" s="5">
        <v>2022</v>
      </c>
      <c r="I9" s="5">
        <v>2023</v>
      </c>
      <c r="J9" s="5">
        <f t="shared" ref="J9:K9" si="0">I9+1</f>
        <v>2024</v>
      </c>
      <c r="K9" s="5">
        <f t="shared" si="0"/>
        <v>2025</v>
      </c>
      <c r="L9" s="47" t="s">
        <v>165</v>
      </c>
      <c r="M9" s="47" t="s">
        <v>166</v>
      </c>
      <c r="N9" s="47" t="s">
        <v>167</v>
      </c>
      <c r="O9" s="13"/>
      <c r="P9" s="13"/>
    </row>
    <row r="10" spans="2:18" x14ac:dyDescent="0.25">
      <c r="G10" s="8"/>
      <c r="H10" s="8"/>
      <c r="I10" s="8"/>
      <c r="J10" s="8"/>
      <c r="K10" s="8"/>
      <c r="L10" s="8"/>
      <c r="M10" s="19"/>
      <c r="N10" s="19"/>
      <c r="O10" s="19"/>
      <c r="P10" s="19"/>
      <c r="Q10" s="19"/>
    </row>
    <row r="11" spans="2:18" x14ac:dyDescent="0.25">
      <c r="B11" s="4" t="s">
        <v>5</v>
      </c>
      <c r="G11" s="9">
        <v>222555</v>
      </c>
      <c r="H11" s="9">
        <v>324520</v>
      </c>
      <c r="I11" s="9">
        <v>508685</v>
      </c>
      <c r="J11" s="9">
        <v>647040</v>
      </c>
      <c r="K11" s="9">
        <v>809844</v>
      </c>
      <c r="L11" s="9">
        <v>197940</v>
      </c>
      <c r="M11" s="9">
        <v>180517</v>
      </c>
      <c r="N11" s="9">
        <f>SUM(L11:M11)</f>
        <v>378457</v>
      </c>
      <c r="O11" s="9"/>
      <c r="P11" s="9"/>
      <c r="Q11" s="9"/>
    </row>
    <row r="12" spans="2:18" ht="16.5" thickBot="1" x14ac:dyDescent="0.3">
      <c r="B12" s="4" t="s">
        <v>7</v>
      </c>
      <c r="G12" s="6">
        <v>-69374</v>
      </c>
      <c r="H12" s="6">
        <v>-106470</v>
      </c>
      <c r="I12" s="6">
        <v>-150456</v>
      </c>
      <c r="J12" s="6">
        <v>-178718</v>
      </c>
      <c r="K12" s="6">
        <v>-221138</v>
      </c>
      <c r="L12" s="6">
        <v>-59970</v>
      </c>
      <c r="M12" s="6">
        <v>-56571</v>
      </c>
      <c r="N12" s="6">
        <f t="shared" ref="N12:N25" si="1">SUM(L12:M12)</f>
        <v>-116541</v>
      </c>
      <c r="O12" s="9"/>
      <c r="P12" s="9"/>
      <c r="Q12" s="9"/>
    </row>
    <row r="13" spans="2:18" x14ac:dyDescent="0.25">
      <c r="B13" s="7" t="s">
        <v>2</v>
      </c>
      <c r="G13" s="10">
        <f>SUM(G11:G12)</f>
        <v>153181</v>
      </c>
      <c r="H13" s="10">
        <f>SUM(H11:H12)</f>
        <v>218050</v>
      </c>
      <c r="I13" s="10">
        <f t="shared" ref="I13:K13" si="2">SUM(I11:I12)</f>
        <v>358229</v>
      </c>
      <c r="J13" s="10">
        <f t="shared" si="2"/>
        <v>468322</v>
      </c>
      <c r="K13" s="10">
        <f t="shared" si="2"/>
        <v>588706</v>
      </c>
      <c r="L13" s="10">
        <f t="shared" ref="L13:M13" si="3">SUM(L11:L12)</f>
        <v>137970</v>
      </c>
      <c r="M13" s="10">
        <f t="shared" si="3"/>
        <v>123946</v>
      </c>
      <c r="N13" s="10">
        <f t="shared" si="1"/>
        <v>261916</v>
      </c>
      <c r="O13" s="10"/>
      <c r="P13" s="10"/>
      <c r="Q13" s="10"/>
    </row>
    <row r="14" spans="2:18" x14ac:dyDescent="0.25">
      <c r="N14" s="4">
        <f t="shared" si="1"/>
        <v>0</v>
      </c>
    </row>
    <row r="15" spans="2:18" ht="16.5" thickBot="1" x14ac:dyDescent="0.3">
      <c r="B15" s="14" t="s">
        <v>3</v>
      </c>
      <c r="G15" s="6">
        <v>-133669</v>
      </c>
      <c r="H15" s="6">
        <v>-190385</v>
      </c>
      <c r="I15" s="6">
        <v>-283911</v>
      </c>
      <c r="J15" s="6">
        <v>-352722</v>
      </c>
      <c r="K15" s="6">
        <v>-469936</v>
      </c>
      <c r="L15" s="6">
        <v>-163460</v>
      </c>
      <c r="M15" s="6">
        <v>-125206</v>
      </c>
      <c r="N15" s="6">
        <f t="shared" si="1"/>
        <v>-288666</v>
      </c>
      <c r="O15" s="9"/>
      <c r="P15" s="9"/>
    </row>
    <row r="16" spans="2:18" x14ac:dyDescent="0.25">
      <c r="B16" s="15" t="s">
        <v>8</v>
      </c>
      <c r="G16" s="10">
        <f>G13+G15</f>
        <v>19512</v>
      </c>
      <c r="H16" s="10">
        <f>H13+H15</f>
        <v>27665</v>
      </c>
      <c r="I16" s="10">
        <f t="shared" ref="I16:K16" si="4">I13+I15</f>
        <v>74318</v>
      </c>
      <c r="J16" s="10">
        <f t="shared" si="4"/>
        <v>115600</v>
      </c>
      <c r="K16" s="10">
        <f t="shared" si="4"/>
        <v>118770</v>
      </c>
      <c r="L16" s="10">
        <f t="shared" ref="L16:M16" si="5">L13+L15</f>
        <v>-25490</v>
      </c>
      <c r="M16" s="10">
        <f t="shared" si="5"/>
        <v>-1260</v>
      </c>
      <c r="N16" s="10">
        <f t="shared" si="1"/>
        <v>-26750</v>
      </c>
      <c r="O16" s="10"/>
      <c r="P16" s="10"/>
      <c r="Q16" s="9"/>
    </row>
    <row r="17" spans="2:18" x14ac:dyDescent="0.25">
      <c r="B17" s="11"/>
      <c r="G17" s="9"/>
      <c r="H17" s="9"/>
      <c r="I17" s="9"/>
      <c r="J17" s="9"/>
      <c r="K17" s="9"/>
      <c r="L17" s="9"/>
      <c r="M17" s="9"/>
      <c r="N17" s="9">
        <f t="shared" si="1"/>
        <v>0</v>
      </c>
      <c r="O17" s="9"/>
      <c r="P17" s="9"/>
      <c r="Q17" s="9"/>
    </row>
    <row r="18" spans="2:18" ht="16.5" thickBot="1" x14ac:dyDescent="0.3">
      <c r="B18" s="14" t="s">
        <v>9</v>
      </c>
      <c r="G18" s="6">
        <v>4006</v>
      </c>
      <c r="H18" s="6">
        <v>4408</v>
      </c>
      <c r="I18" s="6">
        <v>8605</v>
      </c>
      <c r="J18" s="6">
        <v>9827</v>
      </c>
      <c r="K18" s="6">
        <v>10687</v>
      </c>
      <c r="L18" s="6">
        <v>4269</v>
      </c>
      <c r="M18" s="6">
        <f>N18-L18</f>
        <v>3232</v>
      </c>
      <c r="N18" s="6">
        <v>7501</v>
      </c>
      <c r="O18" s="9"/>
      <c r="P18" s="9"/>
      <c r="Q18" s="9"/>
    </row>
    <row r="19" spans="2:18" x14ac:dyDescent="0.25">
      <c r="B19" s="15" t="s">
        <v>10</v>
      </c>
      <c r="G19" s="10">
        <f>G16+G18</f>
        <v>23518</v>
      </c>
      <c r="H19" s="10">
        <f t="shared" ref="H19:K19" si="6">H16+H18</f>
        <v>32073</v>
      </c>
      <c r="I19" s="10">
        <f t="shared" si="6"/>
        <v>82923</v>
      </c>
      <c r="J19" s="10">
        <f t="shared" si="6"/>
        <v>125427</v>
      </c>
      <c r="K19" s="10">
        <f t="shared" si="6"/>
        <v>129457</v>
      </c>
      <c r="L19" s="10">
        <f t="shared" ref="L19:M19" si="7">L16+L18</f>
        <v>-21221</v>
      </c>
      <c r="M19" s="10">
        <f t="shared" si="7"/>
        <v>1972</v>
      </c>
      <c r="N19" s="10">
        <f t="shared" si="1"/>
        <v>-19249</v>
      </c>
      <c r="O19" s="10"/>
      <c r="P19" s="10"/>
      <c r="Q19" s="10"/>
    </row>
    <row r="20" spans="2:18" x14ac:dyDescent="0.25">
      <c r="N20" s="4">
        <f t="shared" si="1"/>
        <v>0</v>
      </c>
    </row>
    <row r="21" spans="2:18" ht="16.5" thickBot="1" x14ac:dyDescent="0.3">
      <c r="B21" s="4" t="s">
        <v>11</v>
      </c>
      <c r="G21" s="6">
        <f>-877</f>
        <v>-877</v>
      </c>
      <c r="H21" s="6">
        <v>1247</v>
      </c>
      <c r="I21" s="6">
        <v>4283</v>
      </c>
      <c r="J21" s="6">
        <v>12306</v>
      </c>
      <c r="K21" s="6">
        <v>16935</v>
      </c>
      <c r="L21" s="6">
        <v>5306</v>
      </c>
      <c r="M21" s="6">
        <v>16533</v>
      </c>
      <c r="N21" s="6">
        <f t="shared" si="1"/>
        <v>21839</v>
      </c>
      <c r="O21" s="9"/>
      <c r="P21" s="9"/>
    </row>
    <row r="22" spans="2:18" x14ac:dyDescent="0.25">
      <c r="B22" s="7" t="s">
        <v>12</v>
      </c>
      <c r="G22" s="10">
        <f>G21+G16</f>
        <v>18635</v>
      </c>
      <c r="H22" s="10">
        <f t="shared" ref="H22:K22" si="8">H21+H16</f>
        <v>28912</v>
      </c>
      <c r="I22" s="10">
        <f t="shared" si="8"/>
        <v>78601</v>
      </c>
      <c r="J22" s="10">
        <f t="shared" si="8"/>
        <v>127906</v>
      </c>
      <c r="K22" s="10">
        <f t="shared" si="8"/>
        <v>135705</v>
      </c>
      <c r="L22" s="10">
        <f t="shared" ref="L22:M22" si="9">L21+L16</f>
        <v>-20184</v>
      </c>
      <c r="M22" s="10">
        <f t="shared" si="9"/>
        <v>15273</v>
      </c>
      <c r="N22" s="10">
        <f t="shared" si="1"/>
        <v>-4911</v>
      </c>
      <c r="O22" s="10"/>
      <c r="P22" s="10"/>
    </row>
    <row r="23" spans="2:18" x14ac:dyDescent="0.25">
      <c r="N23" s="4">
        <f t="shared" si="1"/>
        <v>0</v>
      </c>
    </row>
    <row r="24" spans="2:18" ht="16.5" thickBot="1" x14ac:dyDescent="0.3">
      <c r="B24" s="4" t="s">
        <v>13</v>
      </c>
      <c r="G24" s="6">
        <v>-4715</v>
      </c>
      <c r="H24" s="6">
        <v>-7184</v>
      </c>
      <c r="I24" s="6">
        <v>-20067</v>
      </c>
      <c r="J24" s="6">
        <v>-26415</v>
      </c>
      <c r="K24" s="6">
        <v>-24960</v>
      </c>
      <c r="L24" s="6">
        <v>-1177</v>
      </c>
      <c r="M24" s="6">
        <v>-2383</v>
      </c>
      <c r="N24" s="6">
        <f t="shared" si="1"/>
        <v>-3560</v>
      </c>
      <c r="O24" s="9"/>
      <c r="P24" s="9"/>
    </row>
    <row r="25" spans="2:18" x14ac:dyDescent="0.25">
      <c r="B25" s="7" t="s">
        <v>14</v>
      </c>
      <c r="G25" s="10">
        <f>G22+G24</f>
        <v>13920</v>
      </c>
      <c r="H25" s="10">
        <f t="shared" ref="H25:K25" si="10">H22+H24</f>
        <v>21728</v>
      </c>
      <c r="I25" s="10">
        <f t="shared" si="10"/>
        <v>58534</v>
      </c>
      <c r="J25" s="10">
        <f t="shared" si="10"/>
        <v>101491</v>
      </c>
      <c r="K25" s="10">
        <f t="shared" si="10"/>
        <v>110745</v>
      </c>
      <c r="L25" s="10">
        <f t="shared" ref="L25:M25" si="11">L22+L24</f>
        <v>-21361</v>
      </c>
      <c r="M25" s="10">
        <f t="shared" si="11"/>
        <v>12890</v>
      </c>
      <c r="N25" s="10">
        <f t="shared" si="1"/>
        <v>-8471</v>
      </c>
      <c r="O25" s="10"/>
      <c r="P25" s="10"/>
    </row>
    <row r="28" spans="2:18" ht="26.25" x14ac:dyDescent="0.4">
      <c r="B28" s="1" t="s">
        <v>15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3"/>
      <c r="N28" s="3"/>
      <c r="O28" s="3"/>
      <c r="P28" s="3"/>
      <c r="Q28" s="3"/>
      <c r="R28" s="3"/>
    </row>
    <row r="31" spans="2:18" ht="16.5" thickBot="1" x14ac:dyDescent="0.3">
      <c r="B31" s="12" t="s">
        <v>6</v>
      </c>
      <c r="G31" s="5">
        <v>2021</v>
      </c>
      <c r="H31" s="5">
        <v>2022</v>
      </c>
      <c r="I31" s="5">
        <v>2023</v>
      </c>
      <c r="J31" s="5">
        <f t="shared" ref="J31" si="12">I31+1</f>
        <v>2024</v>
      </c>
      <c r="K31" s="5">
        <f t="shared" ref="K31" si="13">J31+1</f>
        <v>2025</v>
      </c>
      <c r="L31" s="13"/>
      <c r="M31" s="13"/>
      <c r="N31" s="13"/>
      <c r="O31" s="13"/>
      <c r="P31" s="13"/>
    </row>
    <row r="33" spans="2:16" x14ac:dyDescent="0.25">
      <c r="B33" s="4" t="s">
        <v>14</v>
      </c>
      <c r="G33" s="9">
        <f>G25</f>
        <v>13920</v>
      </c>
      <c r="H33" s="9">
        <f t="shared" ref="H33:K33" si="14">H25</f>
        <v>21728</v>
      </c>
      <c r="I33" s="9">
        <f t="shared" si="14"/>
        <v>58534</v>
      </c>
      <c r="J33" s="9">
        <f t="shared" si="14"/>
        <v>101491</v>
      </c>
      <c r="K33" s="9">
        <f t="shared" si="14"/>
        <v>110745</v>
      </c>
      <c r="L33" s="18"/>
      <c r="M33" s="18"/>
      <c r="N33" s="18"/>
      <c r="O33" s="18"/>
      <c r="P33" s="18"/>
    </row>
    <row r="34" spans="2:16" x14ac:dyDescent="0.25">
      <c r="B34" s="4" t="s">
        <v>16</v>
      </c>
      <c r="G34" s="9">
        <f>G18</f>
        <v>4006</v>
      </c>
      <c r="H34" s="9">
        <f t="shared" ref="H34:K34" si="15">H18</f>
        <v>4408</v>
      </c>
      <c r="I34" s="9">
        <f t="shared" si="15"/>
        <v>8605</v>
      </c>
      <c r="J34" s="9">
        <f t="shared" si="15"/>
        <v>9827</v>
      </c>
      <c r="K34" s="9">
        <f t="shared" si="15"/>
        <v>10687</v>
      </c>
      <c r="L34" s="18"/>
      <c r="M34" s="18"/>
      <c r="N34" s="18"/>
      <c r="O34" s="18"/>
      <c r="P34" s="18"/>
    </row>
    <row r="35" spans="2:16" x14ac:dyDescent="0.25">
      <c r="B35" s="4" t="s">
        <v>17</v>
      </c>
      <c r="G35" s="9">
        <v>2107</v>
      </c>
      <c r="H35" s="9">
        <v>6697</v>
      </c>
      <c r="I35" s="9">
        <v>24111</v>
      </c>
      <c r="J35" s="9">
        <v>25022</v>
      </c>
      <c r="K35" s="9">
        <v>33891</v>
      </c>
    </row>
    <row r="36" spans="2:16" ht="16.5" thickBot="1" x14ac:dyDescent="0.3">
      <c r="B36" s="4" t="s">
        <v>19</v>
      </c>
      <c r="G36" s="6">
        <v>-9436</v>
      </c>
      <c r="H36" s="6">
        <v>8429</v>
      </c>
      <c r="I36" s="6">
        <v>-2306</v>
      </c>
      <c r="J36" s="6">
        <v>6417</v>
      </c>
      <c r="K36" s="6">
        <v>-66115</v>
      </c>
      <c r="L36" s="10"/>
      <c r="M36" s="10"/>
      <c r="N36" s="10"/>
      <c r="O36" s="10"/>
      <c r="P36" s="10"/>
    </row>
    <row r="37" spans="2:16" x14ac:dyDescent="0.25">
      <c r="B37" s="7" t="s">
        <v>18</v>
      </c>
      <c r="G37" s="10">
        <v>10224</v>
      </c>
      <c r="H37" s="10">
        <v>39032</v>
      </c>
      <c r="I37" s="10">
        <v>87445</v>
      </c>
      <c r="J37" s="10">
        <v>137764</v>
      </c>
      <c r="K37" s="10">
        <v>87581</v>
      </c>
      <c r="L37" s="10"/>
      <c r="M37" s="10"/>
      <c r="N37" s="10"/>
      <c r="O37" s="10"/>
      <c r="P37" s="10"/>
    </row>
    <row r="39" spans="2:16" x14ac:dyDescent="0.25">
      <c r="B39" s="4" t="s">
        <v>20</v>
      </c>
      <c r="G39" s="9">
        <v>-2371</v>
      </c>
      <c r="H39" s="9">
        <v>-2347</v>
      </c>
      <c r="I39" s="9">
        <v>-2101</v>
      </c>
      <c r="J39" s="9">
        <v>-3270</v>
      </c>
      <c r="K39" s="9">
        <v>-3936</v>
      </c>
    </row>
    <row r="40" spans="2:16" x14ac:dyDescent="0.25">
      <c r="B40" s="4" t="s">
        <v>22</v>
      </c>
      <c r="G40" s="9">
        <v>-3354</v>
      </c>
      <c r="H40" s="9">
        <v>-5051</v>
      </c>
      <c r="I40" s="9">
        <v>-3705</v>
      </c>
      <c r="J40" s="9">
        <v>-6332</v>
      </c>
      <c r="K40" s="9">
        <v>-12250</v>
      </c>
    </row>
    <row r="41" spans="2:16" x14ac:dyDescent="0.25">
      <c r="B41" s="4" t="s">
        <v>21</v>
      </c>
      <c r="G41" s="9">
        <v>-11787</v>
      </c>
      <c r="H41" s="9">
        <v>0</v>
      </c>
      <c r="I41" s="9">
        <v>-23173</v>
      </c>
      <c r="J41" s="9">
        <v>0</v>
      </c>
      <c r="K41" s="9">
        <v>0</v>
      </c>
    </row>
    <row r="42" spans="2:16" x14ac:dyDescent="0.25">
      <c r="B42" s="4" t="s">
        <v>30</v>
      </c>
      <c r="G42" s="9">
        <v>0</v>
      </c>
      <c r="H42" s="9">
        <v>-18000</v>
      </c>
      <c r="I42" s="9">
        <v>-110012</v>
      </c>
      <c r="J42" s="9">
        <v>11506</v>
      </c>
      <c r="K42" s="9">
        <v>-250912</v>
      </c>
    </row>
    <row r="43" spans="2:16" ht="16.5" thickBot="1" x14ac:dyDescent="0.3">
      <c r="B43" s="4" t="s">
        <v>23</v>
      </c>
      <c r="G43" s="6">
        <v>-1270</v>
      </c>
      <c r="H43" s="6">
        <v>-382</v>
      </c>
      <c r="I43" s="6">
        <v>-1000</v>
      </c>
      <c r="J43" s="6">
        <v>-552</v>
      </c>
      <c r="K43" s="6">
        <v>-150</v>
      </c>
    </row>
    <row r="44" spans="2:16" x14ac:dyDescent="0.25">
      <c r="B44" s="7" t="s">
        <v>24</v>
      </c>
      <c r="G44" s="10">
        <f>SUM(G39:G43)</f>
        <v>-18782</v>
      </c>
      <c r="H44" s="10">
        <f t="shared" ref="H44:K44" si="16">SUM(H39:H43)</f>
        <v>-25780</v>
      </c>
      <c r="I44" s="10">
        <f t="shared" si="16"/>
        <v>-139991</v>
      </c>
      <c r="J44" s="10">
        <f t="shared" si="16"/>
        <v>1352</v>
      </c>
      <c r="K44" s="10">
        <f t="shared" si="16"/>
        <v>-267248</v>
      </c>
    </row>
    <row r="46" spans="2:16" x14ac:dyDescent="0.25">
      <c r="B46" s="4" t="s">
        <v>25</v>
      </c>
      <c r="G46" s="9">
        <v>-318</v>
      </c>
      <c r="H46" s="9">
        <v>-362</v>
      </c>
      <c r="I46" s="9">
        <v>-4313</v>
      </c>
      <c r="J46" s="9">
        <v>0</v>
      </c>
      <c r="K46" s="9">
        <v>582456</v>
      </c>
    </row>
    <row r="47" spans="2:16" x14ac:dyDescent="0.25">
      <c r="B47" s="4" t="s">
        <v>26</v>
      </c>
      <c r="G47" s="9">
        <v>0</v>
      </c>
      <c r="H47" s="9">
        <v>116</v>
      </c>
      <c r="I47" s="9">
        <v>54753</v>
      </c>
      <c r="J47" s="9">
        <v>18706</v>
      </c>
      <c r="K47" s="9">
        <v>12242</v>
      </c>
    </row>
    <row r="48" spans="2:16" x14ac:dyDescent="0.25">
      <c r="B48" s="4" t="s">
        <v>27</v>
      </c>
      <c r="G48" s="9">
        <v>0</v>
      </c>
      <c r="H48" s="9">
        <v>0</v>
      </c>
      <c r="I48" s="9">
        <v>0</v>
      </c>
      <c r="J48" s="9">
        <v>-147283</v>
      </c>
      <c r="K48" s="9">
        <v>0</v>
      </c>
    </row>
    <row r="49" spans="2:13" ht="16.5" thickBot="1" x14ac:dyDescent="0.3">
      <c r="B49" s="4" t="s">
        <v>29</v>
      </c>
      <c r="G49" s="6">
        <v>0</v>
      </c>
      <c r="H49" s="6">
        <v>0</v>
      </c>
      <c r="I49" s="6">
        <v>-1629</v>
      </c>
      <c r="J49" s="6">
        <v>1278</v>
      </c>
      <c r="K49" s="6">
        <v>-63350</v>
      </c>
    </row>
    <row r="50" spans="2:13" x14ac:dyDescent="0.25">
      <c r="B50" s="7" t="s">
        <v>28</v>
      </c>
      <c r="G50" s="10">
        <f>SUM(G46:G49)</f>
        <v>-318</v>
      </c>
      <c r="H50" s="10">
        <f t="shared" ref="H50:K50" si="17">SUM(H46:H49)</f>
        <v>-246</v>
      </c>
      <c r="I50" s="10">
        <f t="shared" si="17"/>
        <v>48811</v>
      </c>
      <c r="J50" s="10">
        <f t="shared" si="17"/>
        <v>-127299</v>
      </c>
      <c r="K50" s="10">
        <f t="shared" si="17"/>
        <v>531348</v>
      </c>
    </row>
    <row r="52" spans="2:13" x14ac:dyDescent="0.25">
      <c r="B52" s="7" t="s">
        <v>31</v>
      </c>
      <c r="G52" s="18">
        <v>30889</v>
      </c>
      <c r="H52" s="18">
        <v>43114</v>
      </c>
      <c r="I52" s="18">
        <v>38766</v>
      </c>
      <c r="J52" s="18">
        <v>50347</v>
      </c>
      <c r="K52" s="18">
        <v>402279</v>
      </c>
    </row>
    <row r="54" spans="2:13" x14ac:dyDescent="0.25">
      <c r="G54" s="18"/>
      <c r="H54" s="18"/>
      <c r="I54" s="18"/>
      <c r="J54" s="18"/>
      <c r="K54" s="18"/>
    </row>
    <row r="55" spans="2:13" ht="26.25" x14ac:dyDescent="0.4">
      <c r="B55" s="1" t="s">
        <v>32</v>
      </c>
      <c r="C55" s="2"/>
      <c r="D55" s="2"/>
      <c r="E55" s="2"/>
      <c r="F55" s="2"/>
      <c r="G55" s="2"/>
      <c r="H55" s="2"/>
      <c r="I55" s="2"/>
      <c r="J55" s="2"/>
      <c r="K55" s="2"/>
      <c r="L55" s="2"/>
    </row>
    <row r="58" spans="2:13" ht="16.5" thickBot="1" x14ac:dyDescent="0.3">
      <c r="B58" s="12" t="s">
        <v>6</v>
      </c>
      <c r="G58" s="5">
        <v>2021</v>
      </c>
      <c r="H58" s="5">
        <v>2022</v>
      </c>
      <c r="I58" s="5">
        <v>2023</v>
      </c>
      <c r="J58" s="5">
        <f t="shared" ref="J58" si="18">I58+1</f>
        <v>2024</v>
      </c>
      <c r="K58" s="5">
        <f t="shared" ref="K58" si="19">J58+1</f>
        <v>2025</v>
      </c>
    </row>
    <row r="60" spans="2:13" x14ac:dyDescent="0.25">
      <c r="B60" s="4" t="s">
        <v>33</v>
      </c>
      <c r="G60" s="20" t="s">
        <v>44</v>
      </c>
      <c r="H60" s="9">
        <v>40955</v>
      </c>
      <c r="I60" s="9">
        <v>36538</v>
      </c>
      <c r="J60" s="9">
        <v>50340</v>
      </c>
      <c r="K60" s="9">
        <v>402209</v>
      </c>
    </row>
    <row r="61" spans="2:13" x14ac:dyDescent="0.25">
      <c r="B61" s="4" t="s">
        <v>75</v>
      </c>
      <c r="G61" s="20" t="s">
        <v>44</v>
      </c>
      <c r="H61" s="9">
        <v>18000</v>
      </c>
      <c r="I61" s="9">
        <v>78000</v>
      </c>
      <c r="J61" s="9">
        <v>48000</v>
      </c>
      <c r="K61" s="9">
        <v>0</v>
      </c>
    </row>
    <row r="62" spans="2:13" x14ac:dyDescent="0.25">
      <c r="B62" s="4" t="s">
        <v>76</v>
      </c>
      <c r="D62" s="24"/>
      <c r="E62" s="24"/>
      <c r="G62" s="20" t="s">
        <v>44</v>
      </c>
      <c r="H62" s="9">
        <v>0</v>
      </c>
      <c r="I62" s="9">
        <v>1108</v>
      </c>
      <c r="J62" s="9">
        <v>1880</v>
      </c>
      <c r="K62" s="9">
        <v>11170</v>
      </c>
      <c r="M62" s="24"/>
    </row>
    <row r="63" spans="2:13" x14ac:dyDescent="0.25">
      <c r="B63" s="4" t="s">
        <v>34</v>
      </c>
      <c r="G63" s="20" t="s">
        <v>44</v>
      </c>
      <c r="H63" s="9">
        <v>7576</v>
      </c>
      <c r="I63" s="9">
        <v>9916</v>
      </c>
      <c r="J63" s="9">
        <v>9188</v>
      </c>
      <c r="K63" s="9">
        <v>16902</v>
      </c>
    </row>
    <row r="64" spans="2:13" x14ac:dyDescent="0.25">
      <c r="B64" s="4" t="s">
        <v>35</v>
      </c>
      <c r="G64" s="20" t="s">
        <v>44</v>
      </c>
      <c r="H64" s="9">
        <v>70230</v>
      </c>
      <c r="I64" s="9">
        <v>84106</v>
      </c>
      <c r="J64" s="9">
        <v>99810</v>
      </c>
      <c r="K64" s="9">
        <v>135181</v>
      </c>
    </row>
    <row r="65" spans="2:11" ht="16.5" thickBot="1" x14ac:dyDescent="0.3">
      <c r="B65" s="4" t="s">
        <v>36</v>
      </c>
      <c r="G65" s="21" t="s">
        <v>44</v>
      </c>
      <c r="H65" s="6">
        <v>9172</v>
      </c>
      <c r="I65" s="6">
        <v>14144</v>
      </c>
      <c r="J65" s="6">
        <v>14151</v>
      </c>
      <c r="K65" s="6">
        <v>36336</v>
      </c>
    </row>
    <row r="66" spans="2:11" x14ac:dyDescent="0.25">
      <c r="B66" s="7" t="s">
        <v>37</v>
      </c>
      <c r="G66" s="22" t="s">
        <v>44</v>
      </c>
      <c r="H66" s="10">
        <f>SUM(H60:H65)</f>
        <v>145933</v>
      </c>
      <c r="I66" s="10">
        <f t="shared" ref="I66:K66" si="20">SUM(I60:I65)</f>
        <v>223812</v>
      </c>
      <c r="J66" s="10">
        <f t="shared" si="20"/>
        <v>223369</v>
      </c>
      <c r="K66" s="10">
        <f t="shared" si="20"/>
        <v>601798</v>
      </c>
    </row>
    <row r="67" spans="2:11" x14ac:dyDescent="0.25">
      <c r="G67" s="23"/>
    </row>
    <row r="68" spans="2:11" x14ac:dyDescent="0.25">
      <c r="B68" s="4" t="s">
        <v>76</v>
      </c>
      <c r="G68" s="20" t="s">
        <v>44</v>
      </c>
      <c r="H68" s="9">
        <v>0</v>
      </c>
      <c r="I68" s="9">
        <v>50507</v>
      </c>
      <c r="J68" s="9">
        <v>68831</v>
      </c>
      <c r="K68" s="9">
        <v>362571</v>
      </c>
    </row>
    <row r="69" spans="2:11" x14ac:dyDescent="0.25">
      <c r="B69" s="4" t="s">
        <v>38</v>
      </c>
      <c r="G69" s="20" t="s">
        <v>44</v>
      </c>
      <c r="H69" s="9">
        <v>9468</v>
      </c>
      <c r="I69" s="9">
        <v>9245</v>
      </c>
      <c r="J69" s="9">
        <v>9817</v>
      </c>
      <c r="K69" s="9">
        <v>10864</v>
      </c>
    </row>
    <row r="70" spans="2:11" x14ac:dyDescent="0.25">
      <c r="B70" s="4" t="s">
        <v>39</v>
      </c>
      <c r="G70" s="20" t="s">
        <v>44</v>
      </c>
      <c r="H70" s="9">
        <v>26800</v>
      </c>
      <c r="I70" s="9">
        <v>36001</v>
      </c>
      <c r="J70" s="9">
        <v>36458</v>
      </c>
      <c r="K70" s="9">
        <v>43582</v>
      </c>
    </row>
    <row r="71" spans="2:11" x14ac:dyDescent="0.25">
      <c r="B71" s="4" t="s">
        <v>40</v>
      </c>
      <c r="G71" s="20" t="s">
        <v>44</v>
      </c>
      <c r="H71" s="9">
        <v>16237</v>
      </c>
      <c r="I71" s="9">
        <v>64904</v>
      </c>
      <c r="J71" s="9">
        <v>64904</v>
      </c>
      <c r="K71" s="9">
        <v>64904</v>
      </c>
    </row>
    <row r="72" spans="2:11" x14ac:dyDescent="0.25">
      <c r="B72" s="4" t="s">
        <v>41</v>
      </c>
      <c r="G72" s="20" t="s">
        <v>44</v>
      </c>
      <c r="H72" s="9">
        <v>2334</v>
      </c>
      <c r="I72" s="9">
        <v>3924</v>
      </c>
      <c r="J72" s="9">
        <v>8786</v>
      </c>
      <c r="K72" s="9">
        <v>27693</v>
      </c>
    </row>
    <row r="73" spans="2:11" ht="16.5" thickBot="1" x14ac:dyDescent="0.3">
      <c r="B73" s="4" t="s">
        <v>42</v>
      </c>
      <c r="G73" s="21" t="s">
        <v>44</v>
      </c>
      <c r="H73" s="6">
        <v>15636</v>
      </c>
      <c r="I73" s="6">
        <v>16513</v>
      </c>
      <c r="J73" s="6">
        <v>26717</v>
      </c>
      <c r="K73" s="6">
        <v>26380</v>
      </c>
    </row>
    <row r="74" spans="2:11" x14ac:dyDescent="0.25">
      <c r="B74" s="7" t="s">
        <v>43</v>
      </c>
      <c r="G74" s="22" t="s">
        <v>44</v>
      </c>
      <c r="H74" s="10">
        <f>SUM(H66:H73)</f>
        <v>216408</v>
      </c>
      <c r="I74" s="10">
        <f t="shared" ref="I74:K74" si="21">SUM(I66:I73)</f>
        <v>404906</v>
      </c>
      <c r="J74" s="10">
        <f t="shared" si="21"/>
        <v>438882</v>
      </c>
      <c r="K74" s="10">
        <f t="shared" si="21"/>
        <v>1137792</v>
      </c>
    </row>
    <row r="76" spans="2:11" x14ac:dyDescent="0.25">
      <c r="B76" s="4" t="s">
        <v>45</v>
      </c>
      <c r="G76" s="20" t="s">
        <v>44</v>
      </c>
      <c r="H76" s="9">
        <v>44807</v>
      </c>
      <c r="I76" s="9">
        <v>56185</v>
      </c>
      <c r="J76" s="9">
        <v>79130</v>
      </c>
      <c r="K76" s="9">
        <v>75957</v>
      </c>
    </row>
    <row r="77" spans="2:11" x14ac:dyDescent="0.25">
      <c r="B77" s="4" t="s">
        <v>46</v>
      </c>
      <c r="G77" s="20" t="s">
        <v>44</v>
      </c>
      <c r="H77" s="9">
        <v>37792</v>
      </c>
      <c r="I77" s="9">
        <v>49325</v>
      </c>
      <c r="J77" s="9">
        <v>38566</v>
      </c>
      <c r="K77" s="9">
        <v>32869</v>
      </c>
    </row>
    <row r="78" spans="2:11" x14ac:dyDescent="0.25">
      <c r="B78" s="4" t="s">
        <v>47</v>
      </c>
      <c r="G78" s="20" t="s">
        <v>44</v>
      </c>
      <c r="H78" s="9">
        <v>4565</v>
      </c>
      <c r="I78" s="9">
        <v>0</v>
      </c>
      <c r="J78" s="9">
        <v>0</v>
      </c>
      <c r="K78" s="9">
        <v>584368</v>
      </c>
    </row>
    <row r="79" spans="2:11" x14ac:dyDescent="0.25">
      <c r="B79" s="4" t="s">
        <v>49</v>
      </c>
      <c r="G79" s="20" t="s">
        <v>44</v>
      </c>
      <c r="H79" s="9">
        <v>11966</v>
      </c>
      <c r="I79" s="9">
        <v>12514</v>
      </c>
      <c r="J79" s="9">
        <v>22710</v>
      </c>
      <c r="K79" s="9">
        <v>23465</v>
      </c>
    </row>
    <row r="80" spans="2:11" ht="16.5" thickBot="1" x14ac:dyDescent="0.3">
      <c r="B80" s="4" t="s">
        <v>50</v>
      </c>
      <c r="G80" s="21" t="s">
        <v>44</v>
      </c>
      <c r="H80" s="6">
        <v>6298</v>
      </c>
      <c r="I80" s="6">
        <v>3775</v>
      </c>
      <c r="J80" s="6">
        <v>16172</v>
      </c>
      <c r="K80" s="6">
        <v>24638</v>
      </c>
    </row>
    <row r="81" spans="2:11" x14ac:dyDescent="0.25">
      <c r="B81" s="7" t="s">
        <v>51</v>
      </c>
      <c r="G81" s="22" t="s">
        <v>44</v>
      </c>
      <c r="H81" s="10">
        <f>SUM(H76:H80)</f>
        <v>105428</v>
      </c>
      <c r="I81" s="10">
        <f t="shared" ref="I81:K81" si="22">SUM(I76:I80)</f>
        <v>121799</v>
      </c>
      <c r="J81" s="10">
        <f t="shared" si="22"/>
        <v>156578</v>
      </c>
      <c r="K81" s="10">
        <f t="shared" si="22"/>
        <v>741297</v>
      </c>
    </row>
    <row r="83" spans="2:11" x14ac:dyDescent="0.25">
      <c r="B83" s="4" t="s">
        <v>52</v>
      </c>
      <c r="G83" s="20" t="s">
        <v>44</v>
      </c>
      <c r="H83" s="9">
        <v>53707</v>
      </c>
      <c r="I83" s="9">
        <v>178910</v>
      </c>
      <c r="J83" s="9">
        <v>76912</v>
      </c>
      <c r="K83" s="9">
        <v>77571</v>
      </c>
    </row>
    <row r="84" spans="2:11" x14ac:dyDescent="0.25">
      <c r="B84" s="4" t="s">
        <v>53</v>
      </c>
      <c r="G84" s="20" t="s">
        <v>44</v>
      </c>
      <c r="H84" s="9">
        <v>43244</v>
      </c>
      <c r="I84" s="9">
        <v>101778</v>
      </c>
      <c r="J84" s="9">
        <v>203269</v>
      </c>
      <c r="K84" s="9">
        <v>314014</v>
      </c>
    </row>
    <row r="85" spans="2:11" ht="16.5" thickBot="1" x14ac:dyDescent="0.3">
      <c r="B85" s="4" t="s">
        <v>54</v>
      </c>
      <c r="G85" s="21" t="s">
        <v>44</v>
      </c>
      <c r="H85" s="6">
        <v>1738</v>
      </c>
      <c r="I85" s="6">
        <v>2402</v>
      </c>
      <c r="J85" s="6">
        <v>2106</v>
      </c>
      <c r="K85" s="6">
        <v>4892</v>
      </c>
    </row>
    <row r="86" spans="2:11" x14ac:dyDescent="0.25">
      <c r="B86" s="7" t="s">
        <v>55</v>
      </c>
      <c r="G86" s="22" t="s">
        <v>44</v>
      </c>
      <c r="H86" s="10">
        <v>98705</v>
      </c>
      <c r="I86" s="10">
        <v>283107</v>
      </c>
      <c r="J86" s="10">
        <v>282304</v>
      </c>
      <c r="K86" s="10">
        <v>396495</v>
      </c>
    </row>
    <row r="87" spans="2:11" ht="16.5" thickBot="1" x14ac:dyDescent="0.3">
      <c r="G87" s="21"/>
      <c r="H87" s="6"/>
      <c r="I87" s="6"/>
      <c r="J87" s="6"/>
      <c r="K87" s="6"/>
    </row>
    <row r="88" spans="2:11" x14ac:dyDescent="0.25">
      <c r="B88" s="7" t="s">
        <v>56</v>
      </c>
      <c r="G88" s="22" t="s">
        <v>44</v>
      </c>
      <c r="H88" s="10">
        <f>H81+H86</f>
        <v>204133</v>
      </c>
      <c r="I88" s="10">
        <f t="shared" ref="I88:K88" si="23">I81+I86</f>
        <v>404906</v>
      </c>
      <c r="J88" s="10">
        <f t="shared" si="23"/>
        <v>438882</v>
      </c>
      <c r="K88" s="10">
        <f t="shared" si="23"/>
        <v>1137792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95262-6CFC-4370-87C5-97AA0CB8CE08}">
  <dimension ref="B2:W198"/>
  <sheetViews>
    <sheetView showGridLines="0" zoomScaleNormal="100" workbookViewId="0">
      <selection activeCell="G9" sqref="G9:N9"/>
    </sheetView>
  </sheetViews>
  <sheetFormatPr defaultColWidth="9.140625" defaultRowHeight="15.75" x14ac:dyDescent="0.25"/>
  <cols>
    <col min="1" max="6" width="9.140625" style="4"/>
    <col min="7" max="11" width="12.85546875" style="4" customWidth="1"/>
    <col min="12" max="12" width="9.85546875" style="4" bestFit="1" customWidth="1"/>
    <col min="13" max="15" width="12.85546875" style="4" customWidth="1"/>
    <col min="16" max="16384" width="9.140625" style="4"/>
  </cols>
  <sheetData>
    <row r="2" spans="2:15" ht="26.25" x14ac:dyDescent="0.4">
      <c r="B2" s="1" t="s">
        <v>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2:15" ht="20.25" x14ac:dyDescent="0.3">
      <c r="B3" s="17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15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6" spans="2:15" ht="26.25" x14ac:dyDescent="0.4">
      <c r="B6" s="1" t="s">
        <v>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9" spans="2:15" ht="16.5" thickBot="1" x14ac:dyDescent="0.3">
      <c r="B9" s="12" t="s">
        <v>6</v>
      </c>
      <c r="G9" s="5">
        <v>2021</v>
      </c>
      <c r="H9" s="5">
        <v>2022</v>
      </c>
      <c r="I9" s="5">
        <v>2023</v>
      </c>
      <c r="J9" s="5">
        <f t="shared" ref="J9:K9" si="0">I9+1</f>
        <v>2024</v>
      </c>
      <c r="K9" s="5">
        <f t="shared" si="0"/>
        <v>2025</v>
      </c>
      <c r="L9" s="47" t="s">
        <v>165</v>
      </c>
      <c r="M9" s="47" t="s">
        <v>166</v>
      </c>
      <c r="N9" s="47" t="s">
        <v>167</v>
      </c>
    </row>
    <row r="10" spans="2:15" x14ac:dyDescent="0.25">
      <c r="G10" s="8"/>
      <c r="H10" s="8"/>
      <c r="I10" s="8"/>
      <c r="J10" s="8"/>
      <c r="K10" s="8"/>
      <c r="L10" s="8"/>
      <c r="M10" s="19"/>
      <c r="N10" s="19"/>
    </row>
    <row r="11" spans="2:15" x14ac:dyDescent="0.25">
      <c r="B11" s="4" t="s">
        <v>5</v>
      </c>
      <c r="G11" s="9">
        <v>222555</v>
      </c>
      <c r="H11" s="9">
        <v>324520</v>
      </c>
      <c r="I11" s="9">
        <v>508685</v>
      </c>
      <c r="J11" s="9">
        <v>647040</v>
      </c>
      <c r="K11" s="9">
        <v>809844</v>
      </c>
      <c r="L11" s="9">
        <v>197940</v>
      </c>
      <c r="M11" s="9">
        <v>180517</v>
      </c>
      <c r="N11" s="9">
        <f>SUM(L11:M11)</f>
        <v>378457</v>
      </c>
    </row>
    <row r="12" spans="2:15" ht="16.5" thickBot="1" x14ac:dyDescent="0.3">
      <c r="B12" s="4" t="s">
        <v>7</v>
      </c>
      <c r="G12" s="6">
        <v>-69374</v>
      </c>
      <c r="H12" s="6">
        <v>-106470</v>
      </c>
      <c r="I12" s="6">
        <v>-150456</v>
      </c>
      <c r="J12" s="6">
        <v>-178718</v>
      </c>
      <c r="K12" s="6">
        <v>-221138</v>
      </c>
      <c r="L12" s="6">
        <v>-59970</v>
      </c>
      <c r="M12" s="6">
        <v>-56571</v>
      </c>
      <c r="N12" s="6">
        <f t="shared" ref="N12:N25" si="1">SUM(L12:M12)</f>
        <v>-116541</v>
      </c>
    </row>
    <row r="13" spans="2:15" x14ac:dyDescent="0.25">
      <c r="B13" s="7" t="s">
        <v>2</v>
      </c>
      <c r="G13" s="10">
        <f>SUM(G11:G12)</f>
        <v>153181</v>
      </c>
      <c r="H13" s="10">
        <f>SUM(H11:H12)</f>
        <v>218050</v>
      </c>
      <c r="I13" s="10">
        <f t="shared" ref="I13:M13" si="2">SUM(I11:I12)</f>
        <v>358229</v>
      </c>
      <c r="J13" s="10">
        <f t="shared" si="2"/>
        <v>468322</v>
      </c>
      <c r="K13" s="10">
        <f t="shared" si="2"/>
        <v>588706</v>
      </c>
      <c r="L13" s="10">
        <f t="shared" si="2"/>
        <v>137970</v>
      </c>
      <c r="M13" s="10">
        <f t="shared" si="2"/>
        <v>123946</v>
      </c>
      <c r="N13" s="10">
        <f t="shared" si="1"/>
        <v>261916</v>
      </c>
    </row>
    <row r="15" spans="2:15" ht="16.5" thickBot="1" x14ac:dyDescent="0.3">
      <c r="B15" s="14" t="s">
        <v>3</v>
      </c>
      <c r="G15" s="6">
        <v>-133669</v>
      </c>
      <c r="H15" s="6">
        <v>-190385</v>
      </c>
      <c r="I15" s="6">
        <v>-283911</v>
      </c>
      <c r="J15" s="6">
        <v>-352722</v>
      </c>
      <c r="K15" s="6">
        <v>-469936</v>
      </c>
      <c r="L15" s="6">
        <v>-163460</v>
      </c>
      <c r="M15" s="6">
        <v>-125206</v>
      </c>
      <c r="N15" s="6">
        <f t="shared" si="1"/>
        <v>-288666</v>
      </c>
    </row>
    <row r="16" spans="2:15" x14ac:dyDescent="0.25">
      <c r="B16" s="15" t="s">
        <v>8</v>
      </c>
      <c r="G16" s="10">
        <f>G13+G15</f>
        <v>19512</v>
      </c>
      <c r="H16" s="10">
        <f>H13+H15</f>
        <v>27665</v>
      </c>
      <c r="I16" s="10">
        <f t="shared" ref="I16:M16" si="3">I13+I15</f>
        <v>74318</v>
      </c>
      <c r="J16" s="10">
        <f t="shared" si="3"/>
        <v>115600</v>
      </c>
      <c r="K16" s="10">
        <f t="shared" si="3"/>
        <v>118770</v>
      </c>
      <c r="L16" s="10">
        <f t="shared" si="3"/>
        <v>-25490</v>
      </c>
      <c r="M16" s="10">
        <f t="shared" si="3"/>
        <v>-1260</v>
      </c>
      <c r="N16" s="10">
        <f t="shared" si="1"/>
        <v>-26750</v>
      </c>
    </row>
    <row r="17" spans="2:15" x14ac:dyDescent="0.25">
      <c r="B17" s="11"/>
      <c r="G17" s="9"/>
      <c r="H17" s="9"/>
      <c r="I17" s="9"/>
      <c r="J17" s="9"/>
      <c r="K17" s="9"/>
      <c r="L17" s="9"/>
      <c r="M17" s="9"/>
      <c r="N17" s="9"/>
    </row>
    <row r="18" spans="2:15" ht="16.5" thickBot="1" x14ac:dyDescent="0.3">
      <c r="B18" s="14" t="s">
        <v>9</v>
      </c>
      <c r="G18" s="6">
        <v>4006</v>
      </c>
      <c r="H18" s="6">
        <v>4408</v>
      </c>
      <c r="I18" s="6">
        <v>8605</v>
      </c>
      <c r="J18" s="6">
        <v>9827</v>
      </c>
      <c r="K18" s="6">
        <v>10687</v>
      </c>
      <c r="L18" s="6">
        <v>4269</v>
      </c>
      <c r="M18" s="6">
        <f>N18-L18</f>
        <v>3232</v>
      </c>
      <c r="N18" s="6">
        <v>7501</v>
      </c>
    </row>
    <row r="19" spans="2:15" x14ac:dyDescent="0.25">
      <c r="B19" s="15" t="s">
        <v>10</v>
      </c>
      <c r="G19" s="10">
        <f>G16+G18</f>
        <v>23518</v>
      </c>
      <c r="H19" s="10">
        <f t="shared" ref="H19:M19" si="4">H16+H18</f>
        <v>32073</v>
      </c>
      <c r="I19" s="10">
        <f t="shared" si="4"/>
        <v>82923</v>
      </c>
      <c r="J19" s="10">
        <f t="shared" si="4"/>
        <v>125427</v>
      </c>
      <c r="K19" s="10">
        <f t="shared" si="4"/>
        <v>129457</v>
      </c>
      <c r="L19" s="10">
        <f t="shared" si="4"/>
        <v>-21221</v>
      </c>
      <c r="M19" s="10">
        <f t="shared" si="4"/>
        <v>1972</v>
      </c>
      <c r="N19" s="10">
        <f t="shared" si="1"/>
        <v>-19249</v>
      </c>
    </row>
    <row r="21" spans="2:15" ht="16.5" thickBot="1" x14ac:dyDescent="0.3">
      <c r="B21" s="4" t="s">
        <v>11</v>
      </c>
      <c r="G21" s="6">
        <f>-877</f>
        <v>-877</v>
      </c>
      <c r="H21" s="6">
        <v>1247</v>
      </c>
      <c r="I21" s="6">
        <v>4283</v>
      </c>
      <c r="J21" s="6">
        <v>12306</v>
      </c>
      <c r="K21" s="6">
        <v>16935</v>
      </c>
      <c r="L21" s="6">
        <v>5306</v>
      </c>
      <c r="M21" s="6">
        <v>16533</v>
      </c>
      <c r="N21" s="6">
        <f t="shared" si="1"/>
        <v>21839</v>
      </c>
    </row>
    <row r="22" spans="2:15" x14ac:dyDescent="0.25">
      <c r="B22" s="7" t="s">
        <v>12</v>
      </c>
      <c r="G22" s="10">
        <f>G21+G16</f>
        <v>18635</v>
      </c>
      <c r="H22" s="10">
        <f t="shared" ref="H22:M22" si="5">H21+H16</f>
        <v>28912</v>
      </c>
      <c r="I22" s="10">
        <f t="shared" si="5"/>
        <v>78601</v>
      </c>
      <c r="J22" s="10">
        <f t="shared" si="5"/>
        <v>127906</v>
      </c>
      <c r="K22" s="10">
        <f t="shared" si="5"/>
        <v>135705</v>
      </c>
      <c r="L22" s="10">
        <f t="shared" si="5"/>
        <v>-20184</v>
      </c>
      <c r="M22" s="10">
        <f t="shared" si="5"/>
        <v>15273</v>
      </c>
      <c r="N22" s="10">
        <f t="shared" si="1"/>
        <v>-4911</v>
      </c>
    </row>
    <row r="24" spans="2:15" ht="16.5" thickBot="1" x14ac:dyDescent="0.3">
      <c r="B24" s="4" t="s">
        <v>13</v>
      </c>
      <c r="G24" s="6">
        <v>-4715</v>
      </c>
      <c r="H24" s="6">
        <v>-7184</v>
      </c>
      <c r="I24" s="6">
        <v>-20067</v>
      </c>
      <c r="J24" s="6">
        <v>-26415</v>
      </c>
      <c r="K24" s="6">
        <v>-24960</v>
      </c>
      <c r="L24" s="6">
        <v>-1177</v>
      </c>
      <c r="M24" s="6">
        <v>-2383</v>
      </c>
      <c r="N24" s="6">
        <f t="shared" si="1"/>
        <v>-3560</v>
      </c>
    </row>
    <row r="25" spans="2:15" x14ac:dyDescent="0.25">
      <c r="B25" s="7" t="s">
        <v>14</v>
      </c>
      <c r="G25" s="10">
        <f>G22+G24</f>
        <v>13920</v>
      </c>
      <c r="H25" s="10">
        <f t="shared" ref="H25:M25" si="6">H22+H24</f>
        <v>21728</v>
      </c>
      <c r="I25" s="10">
        <f t="shared" si="6"/>
        <v>58534</v>
      </c>
      <c r="J25" s="10">
        <f t="shared" si="6"/>
        <v>101491</v>
      </c>
      <c r="K25" s="10">
        <f t="shared" si="6"/>
        <v>110745</v>
      </c>
      <c r="L25" s="10">
        <f t="shared" si="6"/>
        <v>-21361</v>
      </c>
      <c r="M25" s="10">
        <f t="shared" si="6"/>
        <v>12890</v>
      </c>
      <c r="N25" s="10">
        <f t="shared" si="1"/>
        <v>-8471</v>
      </c>
    </row>
    <row r="26" spans="2:15" x14ac:dyDescent="0.25">
      <c r="B26" s="7"/>
      <c r="G26" s="10"/>
      <c r="H26" s="10"/>
      <c r="I26" s="10"/>
      <c r="J26" s="10"/>
      <c r="K26" s="10"/>
      <c r="L26" s="10"/>
    </row>
    <row r="27" spans="2:15" x14ac:dyDescent="0.25">
      <c r="B27" s="4" t="s">
        <v>112</v>
      </c>
      <c r="G27" s="10"/>
      <c r="H27" s="10"/>
      <c r="I27" s="10"/>
      <c r="J27" s="10"/>
      <c r="K27" s="10"/>
      <c r="L27" s="10"/>
    </row>
    <row r="28" spans="2:15" x14ac:dyDescent="0.25">
      <c r="B28" s="27" t="s">
        <v>113</v>
      </c>
      <c r="G28" s="18">
        <v>-63771</v>
      </c>
      <c r="H28" s="18">
        <v>-92048</v>
      </c>
      <c r="I28" s="18">
        <v>-125625</v>
      </c>
      <c r="J28" s="18">
        <v>-164370</v>
      </c>
      <c r="K28" s="18">
        <v>-245741</v>
      </c>
      <c r="L28" s="10"/>
    </row>
    <row r="29" spans="2:15" x14ac:dyDescent="0.25">
      <c r="B29" s="7"/>
      <c r="G29" s="10"/>
      <c r="H29" s="10"/>
      <c r="I29" s="10"/>
      <c r="J29" s="10"/>
      <c r="K29" s="10"/>
      <c r="L29" s="10"/>
    </row>
    <row r="31" spans="2:15" ht="26.25" x14ac:dyDescent="0.4">
      <c r="B31" s="1" t="s">
        <v>64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2:15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2:14" ht="16.5" thickBot="1" x14ac:dyDescent="0.3">
      <c r="B33" s="12"/>
      <c r="G33" s="5">
        <v>2021</v>
      </c>
      <c r="H33" s="5">
        <v>2022</v>
      </c>
      <c r="I33" s="5">
        <v>2023</v>
      </c>
      <c r="J33" s="5">
        <f t="shared" ref="J33" si="7">I33+1</f>
        <v>2024</v>
      </c>
      <c r="K33" s="5">
        <f t="shared" ref="K33" si="8">J33+1</f>
        <v>2025</v>
      </c>
      <c r="L33" s="47" t="s">
        <v>165</v>
      </c>
      <c r="M33" s="47" t="s">
        <v>166</v>
      </c>
      <c r="N33" s="47" t="s">
        <v>167</v>
      </c>
    </row>
    <row r="34" spans="2:14" x14ac:dyDescent="0.25">
      <c r="G34" s="8"/>
      <c r="H34" s="8"/>
      <c r="I34" s="8"/>
      <c r="J34" s="8"/>
      <c r="K34" s="8"/>
    </row>
    <row r="35" spans="2:14" x14ac:dyDescent="0.25">
      <c r="B35" s="7" t="s">
        <v>63</v>
      </c>
      <c r="G35" s="8"/>
      <c r="H35" s="8"/>
      <c r="I35" s="8"/>
      <c r="J35" s="8"/>
      <c r="K35" s="8"/>
    </row>
    <row r="36" spans="2:14" x14ac:dyDescent="0.25">
      <c r="B36" s="27" t="s">
        <v>5</v>
      </c>
      <c r="H36" s="25">
        <f>(H11-G11)/G11</f>
        <v>0.45815641077486463</v>
      </c>
      <c r="I36" s="25">
        <f t="shared" ref="I36:K36" si="9">(I11-H11)/H11</f>
        <v>0.56749969185258231</v>
      </c>
      <c r="J36" s="25">
        <f t="shared" si="9"/>
        <v>0.27198560995508025</v>
      </c>
      <c r="K36" s="25">
        <f t="shared" si="9"/>
        <v>0.2516135014836795</v>
      </c>
    </row>
    <row r="37" spans="2:14" x14ac:dyDescent="0.25">
      <c r="B37" s="27" t="s">
        <v>2</v>
      </c>
      <c r="H37" s="25">
        <f>(H13-G13)/G13</f>
        <v>0.4234794132431568</v>
      </c>
      <c r="I37" s="25">
        <f t="shared" ref="I37:K37" si="10">(I13-H13)/H13</f>
        <v>0.64287548727356114</v>
      </c>
      <c r="J37" s="25">
        <f t="shared" si="10"/>
        <v>0.3073257608959632</v>
      </c>
      <c r="K37" s="25">
        <f t="shared" si="10"/>
        <v>0.25705390735434169</v>
      </c>
    </row>
    <row r="38" spans="2:14" x14ac:dyDescent="0.25">
      <c r="B38" s="27" t="s">
        <v>8</v>
      </c>
      <c r="H38" s="25">
        <f>(H16-G16)/G16</f>
        <v>0.41784542845428452</v>
      </c>
      <c r="I38" s="25">
        <f t="shared" ref="I38:K38" si="11">(I16-H16)/H16</f>
        <v>1.6863545996746792</v>
      </c>
      <c r="J38" s="25">
        <f t="shared" si="11"/>
        <v>0.55547781156651144</v>
      </c>
      <c r="K38" s="25">
        <f t="shared" si="11"/>
        <v>2.7422145328719724E-2</v>
      </c>
    </row>
    <row r="39" spans="2:14" x14ac:dyDescent="0.25">
      <c r="B39" s="27" t="s">
        <v>10</v>
      </c>
      <c r="H39" s="25">
        <f>(H19-G19)/G19</f>
        <v>0.36376392550386938</v>
      </c>
      <c r="I39" s="25">
        <f t="shared" ref="I39:K39" si="12">(I19-H19)/H19</f>
        <v>1.58544570199233</v>
      </c>
      <c r="J39" s="25">
        <f t="shared" si="12"/>
        <v>0.51257190405556963</v>
      </c>
      <c r="K39" s="25">
        <f t="shared" si="12"/>
        <v>3.2130243089605909E-2</v>
      </c>
    </row>
    <row r="40" spans="2:14" x14ac:dyDescent="0.25">
      <c r="B40" s="27" t="s">
        <v>14</v>
      </c>
      <c r="H40" s="25">
        <f>(H25-G25)/G25</f>
        <v>0.56091954022988511</v>
      </c>
      <c r="I40" s="25">
        <f t="shared" ref="I40:K40" si="13">(I25-H25)/H25</f>
        <v>1.6939432989690721</v>
      </c>
      <c r="J40" s="25">
        <f t="shared" si="13"/>
        <v>0.73388116308470286</v>
      </c>
      <c r="K40" s="25">
        <f t="shared" si="13"/>
        <v>9.1180498763437146E-2</v>
      </c>
    </row>
    <row r="41" spans="2:14" x14ac:dyDescent="0.25">
      <c r="H41" s="25"/>
      <c r="I41" s="25"/>
      <c r="J41" s="25"/>
      <c r="K41" s="25"/>
    </row>
    <row r="42" spans="2:14" x14ac:dyDescent="0.25">
      <c r="B42" s="7" t="s">
        <v>60</v>
      </c>
      <c r="H42" s="25"/>
      <c r="I42" s="25"/>
      <c r="J42" s="25"/>
      <c r="K42" s="25"/>
    </row>
    <row r="43" spans="2:14" x14ac:dyDescent="0.25">
      <c r="B43" s="27" t="s">
        <v>57</v>
      </c>
      <c r="G43" s="26">
        <f>G13/G11</f>
        <v>0.68828379501696213</v>
      </c>
      <c r="H43" s="26">
        <f t="shared" ref="H43:J43" si="14">H13/H11</f>
        <v>0.67191544434857631</v>
      </c>
      <c r="I43" s="26">
        <f t="shared" si="14"/>
        <v>0.70422560130532652</v>
      </c>
      <c r="J43" s="26">
        <f t="shared" si="14"/>
        <v>0.72379141938674585</v>
      </c>
      <c r="K43" s="26">
        <f>K13/K11</f>
        <v>0.7269375336484557</v>
      </c>
      <c r="L43" s="26">
        <f t="shared" ref="L43:N43" si="15">L13/L11</f>
        <v>0.69702940284934833</v>
      </c>
      <c r="M43" s="26">
        <f t="shared" si="15"/>
        <v>0.68661677293551304</v>
      </c>
      <c r="N43" s="26">
        <f t="shared" si="15"/>
        <v>0.69206277067143696</v>
      </c>
    </row>
    <row r="44" spans="2:14" x14ac:dyDescent="0.25">
      <c r="B44" s="27" t="s">
        <v>58</v>
      </c>
      <c r="G44" s="26">
        <f>G16/G11</f>
        <v>8.7672710116600397E-2</v>
      </c>
      <c r="H44" s="26">
        <f>H16/H11</f>
        <v>8.5248983113521512E-2</v>
      </c>
      <c r="I44" s="26">
        <f>I16/I11</f>
        <v>0.14609827299802433</v>
      </c>
      <c r="J44" s="26">
        <f>J16/J11</f>
        <v>0.17865974282888231</v>
      </c>
      <c r="K44" s="26">
        <f>K16/K11</f>
        <v>0.14665787484997111</v>
      </c>
      <c r="L44" s="26">
        <f t="shared" ref="L44:N44" si="16">L16/L11</f>
        <v>-0.12877639688794584</v>
      </c>
      <c r="M44" s="26">
        <f t="shared" si="16"/>
        <v>-6.9799520266789275E-3</v>
      </c>
      <c r="N44" s="26">
        <f t="shared" si="16"/>
        <v>-7.0681741915197757E-2</v>
      </c>
    </row>
    <row r="45" spans="2:14" x14ac:dyDescent="0.25">
      <c r="B45" s="27" t="s">
        <v>59</v>
      </c>
      <c r="G45" s="26">
        <f>G19/G11</f>
        <v>0.10567275504931366</v>
      </c>
      <c r="H45" s="26">
        <f>H19/H11</f>
        <v>9.8832121286823615E-2</v>
      </c>
      <c r="I45" s="26">
        <f>I19/I11</f>
        <v>0.16301443919124803</v>
      </c>
      <c r="J45" s="26">
        <f>J19/J11</f>
        <v>0.19384736646884274</v>
      </c>
      <c r="K45" s="26">
        <f>K19/K11</f>
        <v>0.15985424353332248</v>
      </c>
      <c r="L45" s="26">
        <f t="shared" ref="L45:N45" si="17">L19/L11</f>
        <v>-0.10720925532989795</v>
      </c>
      <c r="M45" s="26">
        <f t="shared" si="17"/>
        <v>1.0924178886199084E-2</v>
      </c>
      <c r="N45" s="26">
        <f t="shared" si="17"/>
        <v>-5.0861788789743616E-2</v>
      </c>
    </row>
    <row r="46" spans="2:14" x14ac:dyDescent="0.25">
      <c r="B46" s="7"/>
      <c r="G46" s="10"/>
      <c r="H46" s="10"/>
      <c r="I46" s="10"/>
      <c r="J46" s="10"/>
      <c r="K46" s="10"/>
      <c r="L46" s="10"/>
    </row>
    <row r="47" spans="2:14" x14ac:dyDescent="0.25">
      <c r="B47" s="7" t="s">
        <v>61</v>
      </c>
    </row>
    <row r="48" spans="2:14" x14ac:dyDescent="0.25">
      <c r="B48" s="27" t="s">
        <v>7</v>
      </c>
      <c r="G48" s="26">
        <f>-G12/G11</f>
        <v>0.31171620498303793</v>
      </c>
      <c r="H48" s="26">
        <f>-H12/H11</f>
        <v>0.32808455565142364</v>
      </c>
      <c r="I48" s="26">
        <f>-I12/I11</f>
        <v>0.29577439869467353</v>
      </c>
      <c r="J48" s="26">
        <f>-J12/J11</f>
        <v>0.27620858061325421</v>
      </c>
      <c r="K48" s="26">
        <f>-K12/K11</f>
        <v>0.27306246635154424</v>
      </c>
      <c r="L48" s="26">
        <f t="shared" ref="L48:N48" si="18">-L12/L11</f>
        <v>0.30297059715065172</v>
      </c>
      <c r="M48" s="26">
        <f t="shared" si="18"/>
        <v>0.31338322706448701</v>
      </c>
      <c r="N48" s="26">
        <f t="shared" si="18"/>
        <v>0.3079372293285631</v>
      </c>
    </row>
    <row r="49" spans="2:15" x14ac:dyDescent="0.25">
      <c r="B49" s="27" t="s">
        <v>3</v>
      </c>
      <c r="G49" s="26">
        <f>-G15/G11</f>
        <v>0.60061108490036175</v>
      </c>
      <c r="H49" s="26">
        <f>-H15/H11</f>
        <v>0.58666646123505484</v>
      </c>
      <c r="I49" s="26">
        <f>-I15/I11</f>
        <v>0.55812732830730216</v>
      </c>
      <c r="J49" s="26">
        <f>-J15/J11</f>
        <v>0.54513167655786354</v>
      </c>
      <c r="K49" s="26">
        <f>-K15/K11</f>
        <v>0.58027965879848464</v>
      </c>
      <c r="L49" s="26">
        <f t="shared" ref="L49:N49" si="19">-L15/L11</f>
        <v>0.82580579973729418</v>
      </c>
      <c r="M49" s="26">
        <f t="shared" si="19"/>
        <v>0.69359672496219194</v>
      </c>
      <c r="N49" s="26">
        <f t="shared" si="19"/>
        <v>0.76274451258663467</v>
      </c>
    </row>
    <row r="50" spans="2:15" x14ac:dyDescent="0.25">
      <c r="B50" s="27" t="s">
        <v>62</v>
      </c>
      <c r="G50" s="26">
        <f>-G24/G22</f>
        <v>0.25301851354977195</v>
      </c>
      <c r="H50" s="26">
        <f>-H24/H22</f>
        <v>0.24847814056447151</v>
      </c>
      <c r="I50" s="26">
        <f>-I24/I22</f>
        <v>0.25530209539318838</v>
      </c>
      <c r="J50" s="26">
        <f>-J24/J22</f>
        <v>0.20651884978030741</v>
      </c>
      <c r="K50" s="26">
        <f>-K24/K22</f>
        <v>0.1839283740466453</v>
      </c>
      <c r="L50" s="26">
        <f t="shared" ref="L50:N50" si="20">-L24/L22</f>
        <v>-5.8313515655965119E-2</v>
      </c>
      <c r="M50" s="26">
        <f t="shared" si="20"/>
        <v>0.15602697570876711</v>
      </c>
      <c r="N50" s="26">
        <f t="shared" si="20"/>
        <v>-0.72490327835471391</v>
      </c>
    </row>
    <row r="51" spans="2:15" x14ac:dyDescent="0.25">
      <c r="B51" s="27" t="s">
        <v>113</v>
      </c>
      <c r="G51" s="26">
        <f>G28/G11</f>
        <v>-0.28654040574240075</v>
      </c>
      <c r="H51" s="26">
        <f t="shared" ref="H51:K51" si="21">H28/H11</f>
        <v>-0.28364353506717616</v>
      </c>
      <c r="I51" s="26">
        <f t="shared" si="21"/>
        <v>-0.24696029959601717</v>
      </c>
      <c r="J51" s="26">
        <f t="shared" si="21"/>
        <v>-0.25403375370919884</v>
      </c>
      <c r="K51" s="26">
        <f t="shared" si="21"/>
        <v>-0.3034423913741412</v>
      </c>
      <c r="L51" s="26">
        <f t="shared" ref="L51:N51" si="22">L28/L11</f>
        <v>0</v>
      </c>
      <c r="M51" s="26">
        <f t="shared" si="22"/>
        <v>0</v>
      </c>
      <c r="N51" s="26">
        <f t="shared" si="22"/>
        <v>0</v>
      </c>
    </row>
    <row r="52" spans="2:15" x14ac:dyDescent="0.25">
      <c r="B52" s="27"/>
      <c r="G52" s="26"/>
      <c r="H52" s="26"/>
      <c r="I52" s="26"/>
      <c r="J52" s="26"/>
      <c r="K52" s="26"/>
    </row>
    <row r="53" spans="2:15" x14ac:dyDescent="0.25">
      <c r="G53" s="9"/>
      <c r="H53" s="9"/>
      <c r="I53" s="9"/>
      <c r="J53" s="9"/>
      <c r="K53" s="9"/>
    </row>
    <row r="54" spans="2:15" x14ac:dyDescent="0.25">
      <c r="G54" s="9"/>
      <c r="H54" s="9"/>
      <c r="I54" s="9"/>
      <c r="J54" s="9"/>
      <c r="K54" s="9"/>
    </row>
    <row r="55" spans="2:15" ht="26.25" x14ac:dyDescent="0.4">
      <c r="B55" s="1" t="s">
        <v>69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2:15" x14ac:dyDescent="0.25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2:15" ht="16.5" thickBot="1" x14ac:dyDescent="0.3">
      <c r="B57" s="12"/>
      <c r="G57" s="5">
        <v>2021</v>
      </c>
      <c r="H57" s="5">
        <v>2022</v>
      </c>
      <c r="I57" s="5">
        <v>2023</v>
      </c>
      <c r="J57" s="5">
        <f t="shared" ref="J57" si="23">I57+1</f>
        <v>2024</v>
      </c>
      <c r="K57" s="5">
        <f t="shared" ref="K57" si="24">J57+1</f>
        <v>2025</v>
      </c>
      <c r="L57" s="47" t="s">
        <v>165</v>
      </c>
      <c r="M57" s="47" t="s">
        <v>166</v>
      </c>
      <c r="N57" s="47" t="s">
        <v>167</v>
      </c>
    </row>
    <row r="58" spans="2:15" x14ac:dyDescent="0.25">
      <c r="G58" s="9"/>
      <c r="H58" s="9"/>
      <c r="I58" s="9"/>
      <c r="J58" s="9"/>
      <c r="K58" s="9"/>
    </row>
    <row r="59" spans="2:15" x14ac:dyDescent="0.25">
      <c r="B59" s="4" t="s">
        <v>18</v>
      </c>
      <c r="G59" s="9">
        <v>10224</v>
      </c>
      <c r="H59" s="9">
        <v>39032</v>
      </c>
      <c r="I59" s="9">
        <v>87445</v>
      </c>
      <c r="J59" s="9">
        <v>137764</v>
      </c>
      <c r="K59" s="9">
        <v>87581</v>
      </c>
    </row>
    <row r="60" spans="2:15" x14ac:dyDescent="0.25">
      <c r="B60" s="4" t="s">
        <v>20</v>
      </c>
      <c r="G60" s="9">
        <v>-2371</v>
      </c>
      <c r="H60" s="9">
        <v>-2347</v>
      </c>
      <c r="I60" s="9">
        <v>-2101</v>
      </c>
      <c r="J60" s="9">
        <v>-3270</v>
      </c>
      <c r="K60" s="9">
        <v>-3936</v>
      </c>
    </row>
    <row r="61" spans="2:15" ht="16.5" thickBot="1" x14ac:dyDescent="0.3">
      <c r="B61" s="4" t="s">
        <v>22</v>
      </c>
      <c r="G61" s="6">
        <v>-3354</v>
      </c>
      <c r="H61" s="6">
        <v>-5051</v>
      </c>
      <c r="I61" s="6">
        <v>-3705</v>
      </c>
      <c r="J61" s="6">
        <v>-6332</v>
      </c>
      <c r="K61" s="6">
        <v>-12250</v>
      </c>
    </row>
    <row r="62" spans="2:15" x14ac:dyDescent="0.25">
      <c r="B62" s="7" t="s">
        <v>65</v>
      </c>
      <c r="G62" s="18">
        <f>SUM(G59:G60)</f>
        <v>7853</v>
      </c>
      <c r="H62" s="18">
        <f t="shared" ref="H62:K62" si="25">SUM(H59:H60)</f>
        <v>36685</v>
      </c>
      <c r="I62" s="18">
        <f t="shared" si="25"/>
        <v>85344</v>
      </c>
      <c r="J62" s="18">
        <f t="shared" si="25"/>
        <v>134494</v>
      </c>
      <c r="K62" s="18">
        <f t="shared" si="25"/>
        <v>83645</v>
      </c>
    </row>
    <row r="63" spans="2:15" x14ac:dyDescent="0.25">
      <c r="B63" s="7" t="s">
        <v>66</v>
      </c>
      <c r="G63" s="18">
        <f>SUM(G59:G61)</f>
        <v>4499</v>
      </c>
      <c r="H63" s="18">
        <f t="shared" ref="H63:K63" si="26">SUM(H59:H61)</f>
        <v>31634</v>
      </c>
      <c r="I63" s="18">
        <f t="shared" si="26"/>
        <v>81639</v>
      </c>
      <c r="J63" s="18">
        <f t="shared" si="26"/>
        <v>128162</v>
      </c>
      <c r="K63" s="18">
        <f t="shared" si="26"/>
        <v>71395</v>
      </c>
    </row>
    <row r="64" spans="2:15" x14ac:dyDescent="0.25">
      <c r="G64" s="18"/>
      <c r="H64" s="18"/>
      <c r="I64" s="18"/>
      <c r="J64" s="18"/>
      <c r="K64" s="18"/>
    </row>
    <row r="65" spans="2:23" x14ac:dyDescent="0.25">
      <c r="B65" s="28" t="s">
        <v>67</v>
      </c>
      <c r="C65" s="28"/>
      <c r="D65" s="28"/>
      <c r="E65" s="28"/>
      <c r="F65" s="28"/>
      <c r="G65" s="28"/>
      <c r="H65" s="26">
        <f>(H62-G62)/G62</f>
        <v>3.6714631351076021</v>
      </c>
      <c r="I65" s="26">
        <f t="shared" ref="I65:K65" si="27">(I62-H62)/H62</f>
        <v>1.3264004361455637</v>
      </c>
      <c r="J65" s="26">
        <f t="shared" si="27"/>
        <v>0.57590457442819643</v>
      </c>
      <c r="K65" s="26">
        <f t="shared" si="27"/>
        <v>-0.37807634541317831</v>
      </c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</row>
    <row r="66" spans="2:23" x14ac:dyDescent="0.25"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</row>
    <row r="67" spans="2:23" x14ac:dyDescent="0.25">
      <c r="B67" s="32" t="s">
        <v>68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</row>
    <row r="68" spans="2:23" x14ac:dyDescent="0.25">
      <c r="B68" s="27" t="s">
        <v>20</v>
      </c>
      <c r="C68" s="28"/>
      <c r="D68" s="28"/>
      <c r="E68" s="28"/>
      <c r="F68" s="28"/>
      <c r="G68" s="26">
        <f>-G60/G11</f>
        <v>1.0653546314394195E-2</v>
      </c>
      <c r="H68" s="26">
        <f>-H60/H11</f>
        <v>7.2322198939972883E-3</v>
      </c>
      <c r="I68" s="26">
        <f>-I60/I11</f>
        <v>4.1302574284675193E-3</v>
      </c>
      <c r="J68" s="26">
        <f>-J60/J11</f>
        <v>5.0537833827893177E-3</v>
      </c>
      <c r="K68" s="26">
        <f>-K60/K11</f>
        <v>4.86019529687199E-3</v>
      </c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</row>
    <row r="69" spans="2:23" x14ac:dyDescent="0.25">
      <c r="B69" s="27" t="s">
        <v>22</v>
      </c>
      <c r="C69" s="28"/>
      <c r="D69" s="28"/>
      <c r="E69" s="28"/>
      <c r="F69" s="28"/>
      <c r="G69" s="26">
        <f>-G61/G11</f>
        <v>1.5070432028038013E-2</v>
      </c>
      <c r="H69" s="26">
        <f>-H61/H11</f>
        <v>1.556452606927154E-2</v>
      </c>
      <c r="I69" s="26">
        <f>-I61/I11</f>
        <v>7.2834858507720892E-3</v>
      </c>
      <c r="J69" s="26">
        <f>-J61/J11</f>
        <v>9.7861028684470813E-3</v>
      </c>
      <c r="K69" s="26">
        <f>-K61/K11</f>
        <v>1.5126370016941535E-2</v>
      </c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</row>
    <row r="70" spans="2:23" x14ac:dyDescent="0.25">
      <c r="B70" s="28"/>
      <c r="C70" s="28"/>
      <c r="D70" s="28"/>
      <c r="E70" s="28"/>
      <c r="F70" s="28"/>
      <c r="G70" s="29"/>
      <c r="H70" s="30"/>
      <c r="I70" s="30"/>
      <c r="J70" s="30"/>
      <c r="K70" s="30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</row>
    <row r="71" spans="2:23" x14ac:dyDescent="0.25">
      <c r="B71" s="28"/>
      <c r="C71" s="28"/>
      <c r="D71" s="31"/>
      <c r="E71" s="31"/>
      <c r="F71" s="28"/>
      <c r="G71" s="29"/>
      <c r="H71" s="30"/>
      <c r="I71" s="30"/>
      <c r="J71" s="30"/>
      <c r="K71" s="30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</row>
    <row r="72" spans="2:23" ht="26.25" x14ac:dyDescent="0.4">
      <c r="B72" s="1" t="s">
        <v>110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3"/>
      <c r="N72" s="3"/>
      <c r="O72" s="3"/>
      <c r="P72" s="3"/>
      <c r="Q72" s="28"/>
      <c r="R72" s="28"/>
      <c r="S72" s="28"/>
      <c r="T72" s="28"/>
      <c r="U72" s="28"/>
      <c r="V72" s="28"/>
      <c r="W72" s="28"/>
    </row>
    <row r="73" spans="2:23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</row>
    <row r="74" spans="2:23" ht="16.5" thickBot="1" x14ac:dyDescent="0.3">
      <c r="B74" s="12"/>
      <c r="G74" s="49">
        <v>2025</v>
      </c>
      <c r="H74" s="50" t="s">
        <v>117</v>
      </c>
      <c r="I74" s="50" t="s">
        <v>118</v>
      </c>
      <c r="J74" s="50" t="s">
        <v>119</v>
      </c>
      <c r="K74" s="50" t="s">
        <v>120</v>
      </c>
      <c r="L74" s="28"/>
      <c r="M74" s="28"/>
      <c r="N74" s="28"/>
      <c r="O74" s="28"/>
      <c r="P74" s="28"/>
      <c r="Q74" s="28"/>
      <c r="R74" s="28"/>
      <c r="S74" s="28"/>
    </row>
    <row r="75" spans="2:23" x14ac:dyDescent="0.25">
      <c r="B75" s="32"/>
      <c r="C75" s="28"/>
      <c r="D75" s="28"/>
      <c r="E75" s="28"/>
      <c r="F75" s="28"/>
      <c r="G75" s="34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</row>
    <row r="76" spans="2:23" x14ac:dyDescent="0.25">
      <c r="B76" s="28" t="s">
        <v>5</v>
      </c>
      <c r="C76" s="28"/>
      <c r="D76" s="28"/>
      <c r="E76" s="28"/>
      <c r="F76" s="28"/>
      <c r="G76" s="46">
        <f>K11</f>
        <v>809844</v>
      </c>
      <c r="H76" s="46">
        <f>$G$76*(1+-0.35)</f>
        <v>526398.6</v>
      </c>
      <c r="I76" s="46">
        <f>$G$76*(1+-0.3)</f>
        <v>566890.79999999993</v>
      </c>
      <c r="J76" s="46">
        <f>$G$76*(1+-0.25)</f>
        <v>607383</v>
      </c>
      <c r="K76" s="46">
        <f>$G$76*(1+-0.2)</f>
        <v>647875.20000000007</v>
      </c>
      <c r="L76" s="28"/>
      <c r="M76" s="28"/>
      <c r="N76" s="28"/>
      <c r="O76" s="28"/>
      <c r="P76" s="28"/>
      <c r="Q76" s="28"/>
      <c r="R76" s="28"/>
      <c r="S76" s="28"/>
    </row>
    <row r="77" spans="2:23" ht="16.5" thickBot="1" x14ac:dyDescent="0.3">
      <c r="B77" s="28" t="s">
        <v>111</v>
      </c>
      <c r="C77" s="28"/>
      <c r="D77" s="28"/>
      <c r="E77" s="28"/>
      <c r="F77" s="28"/>
      <c r="G77" s="61">
        <f>K43</f>
        <v>0.7269375336484557</v>
      </c>
      <c r="H77" s="64">
        <v>0.7</v>
      </c>
      <c r="I77" s="64">
        <f>H77</f>
        <v>0.7</v>
      </c>
      <c r="J77" s="64">
        <f t="shared" ref="J77:K77" si="28">I77</f>
        <v>0.7</v>
      </c>
      <c r="K77" s="64">
        <f t="shared" si="28"/>
        <v>0.7</v>
      </c>
      <c r="L77" s="28"/>
      <c r="M77" s="28"/>
      <c r="N77" s="28"/>
      <c r="O77" s="28"/>
      <c r="P77" s="28"/>
      <c r="Q77" s="28"/>
      <c r="R77" s="28"/>
      <c r="S77" s="28"/>
    </row>
    <row r="78" spans="2:23" x14ac:dyDescent="0.25">
      <c r="B78" s="28" t="s">
        <v>2</v>
      </c>
      <c r="C78" s="28"/>
      <c r="D78" s="28"/>
      <c r="E78" s="28"/>
      <c r="F78" s="28"/>
      <c r="G78" s="48">
        <f>'Historical Financials'!K13</f>
        <v>588706</v>
      </c>
      <c r="H78" s="48">
        <f>H76*H77</f>
        <v>368479.01999999996</v>
      </c>
      <c r="I78" s="48">
        <f t="shared" ref="I78:K78" si="29">I76*I77</f>
        <v>396823.55999999994</v>
      </c>
      <c r="J78" s="48">
        <f t="shared" si="29"/>
        <v>425168.1</v>
      </c>
      <c r="K78" s="48">
        <f t="shared" si="29"/>
        <v>453512.64</v>
      </c>
      <c r="L78" s="28"/>
      <c r="M78" s="28"/>
      <c r="N78" s="28"/>
      <c r="O78" s="28"/>
      <c r="P78" s="28"/>
      <c r="Q78" s="28"/>
      <c r="R78" s="28"/>
      <c r="S78" s="28"/>
    </row>
    <row r="79" spans="2:23" x14ac:dyDescent="0.25">
      <c r="B79" s="28"/>
      <c r="C79" s="28"/>
      <c r="D79" s="28"/>
      <c r="E79" s="28"/>
      <c r="F79" s="28"/>
      <c r="G79" s="46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</row>
    <row r="80" spans="2:23" ht="16.5" thickBot="1" x14ac:dyDescent="0.3">
      <c r="B80" s="28" t="s">
        <v>114</v>
      </c>
      <c r="C80" s="28"/>
      <c r="D80" s="28"/>
      <c r="E80" s="28"/>
      <c r="F80" s="28"/>
      <c r="G80" s="61">
        <f>K44</f>
        <v>0.14665787484997111</v>
      </c>
      <c r="H80" s="63">
        <v>0.1</v>
      </c>
      <c r="I80" s="63">
        <f>H80</f>
        <v>0.1</v>
      </c>
      <c r="J80" s="63">
        <f t="shared" ref="J80:K80" si="30">I80</f>
        <v>0.1</v>
      </c>
      <c r="K80" s="63">
        <f t="shared" si="30"/>
        <v>0.1</v>
      </c>
      <c r="L80" s="28"/>
      <c r="M80" s="28"/>
      <c r="N80" s="28"/>
      <c r="O80" s="28"/>
      <c r="P80" s="28"/>
      <c r="Q80" s="28"/>
      <c r="R80" s="28"/>
      <c r="S80" s="28"/>
    </row>
    <row r="81" spans="2:23" x14ac:dyDescent="0.25">
      <c r="B81" s="32" t="s">
        <v>116</v>
      </c>
      <c r="C81" s="28"/>
      <c r="D81" s="28"/>
      <c r="E81" s="28"/>
      <c r="F81" s="28"/>
      <c r="G81" s="34">
        <f>K16</f>
        <v>118770</v>
      </c>
      <c r="H81" s="48">
        <f>H76*H80</f>
        <v>52639.86</v>
      </c>
      <c r="I81" s="48">
        <f>I76*I80</f>
        <v>56689.079999999994</v>
      </c>
      <c r="J81" s="48">
        <f>J76*J80</f>
        <v>60738.3</v>
      </c>
      <c r="K81" s="48">
        <f>K76*K80</f>
        <v>64787.520000000011</v>
      </c>
      <c r="L81" s="28"/>
      <c r="M81" s="28"/>
      <c r="N81" s="28"/>
      <c r="O81" s="28"/>
      <c r="P81" s="28"/>
      <c r="Q81" s="28"/>
      <c r="R81" s="28"/>
      <c r="S81" s="28"/>
    </row>
    <row r="82" spans="2:23" x14ac:dyDescent="0.25">
      <c r="B82" s="32"/>
      <c r="C82" s="28"/>
      <c r="D82" s="28"/>
      <c r="E82" s="28"/>
      <c r="F82" s="28"/>
      <c r="G82" s="28"/>
      <c r="H82" s="48"/>
      <c r="I82" s="48"/>
      <c r="J82" s="48"/>
      <c r="K82" s="48"/>
      <c r="L82" s="28"/>
      <c r="M82" s="28"/>
      <c r="N82" s="28"/>
      <c r="O82" s="28"/>
      <c r="P82" s="28"/>
      <c r="Q82" s="28"/>
      <c r="R82" s="28"/>
      <c r="S82" s="28"/>
    </row>
    <row r="83" spans="2:23" ht="16.5" thickBot="1" x14ac:dyDescent="0.3">
      <c r="B83" s="28" t="s">
        <v>62</v>
      </c>
      <c r="C83" s="28"/>
      <c r="D83" s="28"/>
      <c r="E83" s="28"/>
      <c r="F83" s="28"/>
      <c r="G83" s="61">
        <f>K50</f>
        <v>0.1839283740466453</v>
      </c>
      <c r="H83" s="62">
        <v>0.25</v>
      </c>
      <c r="I83" s="62">
        <f>H83</f>
        <v>0.25</v>
      </c>
      <c r="J83" s="62">
        <f t="shared" ref="J83:K83" si="31">I83</f>
        <v>0.25</v>
      </c>
      <c r="K83" s="62">
        <f t="shared" si="31"/>
        <v>0.25</v>
      </c>
      <c r="L83" s="28"/>
      <c r="M83" s="28"/>
      <c r="N83" s="28"/>
      <c r="O83" s="28"/>
      <c r="P83" s="28"/>
      <c r="Q83" s="28"/>
      <c r="R83" s="28"/>
      <c r="S83" s="28"/>
    </row>
    <row r="84" spans="2:23" x14ac:dyDescent="0.25">
      <c r="B84" s="32" t="s">
        <v>115</v>
      </c>
      <c r="C84" s="28"/>
      <c r="D84" s="28"/>
      <c r="E84" s="28"/>
      <c r="F84" s="28"/>
      <c r="G84" s="34">
        <f>G81*(1-G83)</f>
        <v>96924.827014479932</v>
      </c>
      <c r="H84" s="48">
        <f>H81*(1-H83)</f>
        <v>39479.895000000004</v>
      </c>
      <c r="I84" s="48">
        <f>I81*(1-I83)</f>
        <v>42516.81</v>
      </c>
      <c r="J84" s="48">
        <f>J81*(1-J83)</f>
        <v>45553.725000000006</v>
      </c>
      <c r="K84" s="48">
        <f>K81*(1-K83)</f>
        <v>48590.640000000007</v>
      </c>
      <c r="L84" s="28"/>
      <c r="M84" s="28"/>
      <c r="N84" s="28"/>
      <c r="O84" s="28"/>
      <c r="P84" s="28"/>
      <c r="Q84" s="28"/>
      <c r="R84" s="28"/>
      <c r="S84" s="28"/>
    </row>
    <row r="85" spans="2:23" x14ac:dyDescent="0.25">
      <c r="B85" s="28"/>
      <c r="C85" s="28"/>
      <c r="D85" s="28"/>
      <c r="E85" s="28"/>
      <c r="F85" s="28"/>
      <c r="G85" s="29"/>
      <c r="H85" s="30"/>
      <c r="I85" s="30"/>
      <c r="J85" s="30"/>
      <c r="K85" s="30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</row>
    <row r="86" spans="2:23" ht="16.5" thickBot="1" x14ac:dyDescent="0.3">
      <c r="B86" s="28" t="s">
        <v>122</v>
      </c>
      <c r="C86" s="28"/>
      <c r="D86" s="28"/>
      <c r="E86" s="28"/>
      <c r="F86" s="28"/>
      <c r="G86" s="60">
        <v>0.1</v>
      </c>
      <c r="H86" s="60">
        <v>0.1</v>
      </c>
      <c r="I86" s="60">
        <v>0.1</v>
      </c>
      <c r="J86" s="60">
        <v>0.1</v>
      </c>
      <c r="K86" s="60">
        <v>0.1</v>
      </c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</row>
    <row r="87" spans="2:23" x14ac:dyDescent="0.25">
      <c r="B87" s="32" t="s">
        <v>123</v>
      </c>
      <c r="C87" s="28"/>
      <c r="D87" s="28"/>
      <c r="E87" s="28"/>
      <c r="F87" s="28"/>
      <c r="G87" s="48">
        <f>G84/G86</f>
        <v>969248.27014479926</v>
      </c>
      <c r="H87" s="48">
        <f t="shared" ref="H87:K87" si="32">H84/H86</f>
        <v>394798.95</v>
      </c>
      <c r="I87" s="48">
        <f t="shared" si="32"/>
        <v>425168.1</v>
      </c>
      <c r="J87" s="48">
        <f t="shared" si="32"/>
        <v>455537.25000000006</v>
      </c>
      <c r="K87" s="48">
        <f t="shared" si="32"/>
        <v>485906.4</v>
      </c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</row>
    <row r="88" spans="2:23" x14ac:dyDescent="0.25">
      <c r="B88" s="28"/>
      <c r="C88" s="28"/>
      <c r="D88" s="28"/>
      <c r="E88" s="28"/>
      <c r="F88" s="28"/>
      <c r="G88" s="46"/>
      <c r="H88" s="46"/>
      <c r="I88" s="46"/>
      <c r="J88" s="46"/>
      <c r="K88" s="46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</row>
    <row r="89" spans="2:23" x14ac:dyDescent="0.25">
      <c r="B89" s="28" t="s">
        <v>121</v>
      </c>
      <c r="C89" s="28"/>
      <c r="D89" s="28"/>
      <c r="E89" s="28"/>
      <c r="F89" s="28"/>
      <c r="G89" s="46">
        <f>'BS Analysis '!K45</f>
        <v>775950</v>
      </c>
      <c r="H89" s="46">
        <f>'BS Analysis '!$L$45</f>
        <v>667336</v>
      </c>
      <c r="I89" s="46">
        <f>'BS Analysis '!$L$45</f>
        <v>667336</v>
      </c>
      <c r="J89" s="46">
        <f>'BS Analysis '!$L$45</f>
        <v>667336</v>
      </c>
      <c r="K89" s="46">
        <f>'BS Analysis '!$L$45</f>
        <v>667336</v>
      </c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</row>
    <row r="90" spans="2:23" x14ac:dyDescent="0.25">
      <c r="B90" s="28" t="s">
        <v>47</v>
      </c>
      <c r="C90" s="28"/>
      <c r="D90" s="28"/>
      <c r="E90" s="28"/>
      <c r="F90" s="28"/>
      <c r="G90" s="46">
        <f>'BS Analysis '!K24</f>
        <v>584368</v>
      </c>
      <c r="H90" s="46">
        <f>'BS Analysis '!$L$24</f>
        <v>585222</v>
      </c>
      <c r="I90" s="46">
        <f>'BS Analysis '!$L$24</f>
        <v>585222</v>
      </c>
      <c r="J90" s="46">
        <f>'BS Analysis '!$L$24</f>
        <v>585222</v>
      </c>
      <c r="K90" s="46">
        <f>'BS Analysis '!$L$24</f>
        <v>585222</v>
      </c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</row>
    <row r="91" spans="2:23" ht="16.5" thickBot="1" x14ac:dyDescent="0.3">
      <c r="B91" s="32"/>
      <c r="C91" s="28"/>
      <c r="D91" s="28"/>
      <c r="E91" s="28"/>
      <c r="F91" s="28"/>
      <c r="G91" s="65"/>
      <c r="H91" s="65"/>
      <c r="I91" s="65"/>
      <c r="J91" s="65"/>
      <c r="K91" s="65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</row>
    <row r="92" spans="2:23" x14ac:dyDescent="0.25">
      <c r="B92" s="32" t="s">
        <v>124</v>
      </c>
      <c r="C92" s="32"/>
      <c r="D92" s="32"/>
      <c r="E92" s="32"/>
      <c r="F92" s="32"/>
      <c r="G92" s="48">
        <f>G87+G89-G90</f>
        <v>1160830.2701447993</v>
      </c>
      <c r="H92" s="48">
        <f t="shared" ref="H92:K92" si="33">H87+H89-H90</f>
        <v>476912.94999999995</v>
      </c>
      <c r="I92" s="48">
        <f t="shared" si="33"/>
        <v>507282.10000000009</v>
      </c>
      <c r="J92" s="48">
        <f t="shared" si="33"/>
        <v>537651.25</v>
      </c>
      <c r="K92" s="48">
        <f t="shared" si="33"/>
        <v>568020.39999999991</v>
      </c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</row>
    <row r="93" spans="2:23" x14ac:dyDescent="0.25">
      <c r="B93" s="28"/>
      <c r="C93" s="28"/>
      <c r="D93" s="28"/>
      <c r="E93" s="28"/>
      <c r="F93" s="28"/>
      <c r="G93" s="29"/>
      <c r="H93" s="30"/>
      <c r="I93" s="30"/>
      <c r="J93" s="30"/>
      <c r="K93" s="30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</row>
    <row r="94" spans="2:23" ht="16.5" thickBot="1" x14ac:dyDescent="0.3">
      <c r="B94" s="28" t="s">
        <v>125</v>
      </c>
      <c r="C94" s="28"/>
      <c r="D94" s="28"/>
      <c r="E94" s="28"/>
      <c r="F94" s="28"/>
      <c r="G94" s="56">
        <f>56317</f>
        <v>56317</v>
      </c>
      <c r="H94" s="56">
        <f>56317</f>
        <v>56317</v>
      </c>
      <c r="I94" s="56">
        <f>56317</f>
        <v>56317</v>
      </c>
      <c r="J94" s="56">
        <f>56317</f>
        <v>56317</v>
      </c>
      <c r="K94" s="56">
        <f>56317</f>
        <v>56317</v>
      </c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</row>
    <row r="95" spans="2:23" x14ac:dyDescent="0.25">
      <c r="B95" s="32" t="s">
        <v>126</v>
      </c>
      <c r="C95" s="32"/>
      <c r="D95" s="32"/>
      <c r="E95" s="32"/>
      <c r="F95" s="32"/>
      <c r="G95" s="51">
        <f>G92/G94</f>
        <v>20.612430884897975</v>
      </c>
      <c r="H95" s="51">
        <f t="shared" ref="H95:K95" si="34">H92/H94</f>
        <v>8.4683656799900557</v>
      </c>
      <c r="I95" s="51">
        <f t="shared" si="34"/>
        <v>9.0076193689294541</v>
      </c>
      <c r="J95" s="51">
        <f t="shared" si="34"/>
        <v>9.546873057868849</v>
      </c>
      <c r="K95" s="51">
        <f t="shared" si="34"/>
        <v>10.086126746808244</v>
      </c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</row>
    <row r="96" spans="2:23" x14ac:dyDescent="0.25">
      <c r="B96" s="32"/>
      <c r="C96" s="28"/>
      <c r="D96" s="28"/>
      <c r="E96" s="28"/>
      <c r="F96" s="28"/>
      <c r="G96" s="33"/>
      <c r="H96" s="34"/>
      <c r="I96" s="34"/>
      <c r="J96" s="34"/>
      <c r="K96" s="34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</row>
    <row r="97" spans="2:23" x14ac:dyDescent="0.25">
      <c r="B97" s="28"/>
      <c r="C97" s="28"/>
      <c r="D97" s="28"/>
      <c r="E97" s="28"/>
      <c r="F97" s="28"/>
      <c r="G97" s="29"/>
      <c r="H97" s="30"/>
      <c r="I97" s="30"/>
      <c r="J97" s="30"/>
      <c r="K97" s="30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</row>
    <row r="98" spans="2:23" ht="26.25" x14ac:dyDescent="0.4">
      <c r="B98" s="1" t="s">
        <v>139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3"/>
      <c r="N98" s="3"/>
      <c r="O98" s="3"/>
      <c r="P98" s="3"/>
      <c r="Q98" s="28"/>
      <c r="R98" s="28"/>
      <c r="S98" s="28"/>
      <c r="T98" s="28"/>
      <c r="U98" s="28"/>
      <c r="V98" s="28"/>
      <c r="W98" s="28"/>
    </row>
    <row r="99" spans="2:23" x14ac:dyDescent="0.25"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</row>
    <row r="100" spans="2:23" ht="16.5" thickBot="1" x14ac:dyDescent="0.3">
      <c r="B100" s="12"/>
      <c r="G100" s="57">
        <v>2025</v>
      </c>
      <c r="H100" s="57" t="s">
        <v>140</v>
      </c>
      <c r="I100" s="57" t="s">
        <v>141</v>
      </c>
      <c r="J100" s="57" t="s">
        <v>142</v>
      </c>
      <c r="K100" s="57" t="s">
        <v>143</v>
      </c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</row>
    <row r="101" spans="2:23" x14ac:dyDescent="0.25">
      <c r="B101" s="32"/>
      <c r="C101" s="28"/>
      <c r="D101" s="28"/>
      <c r="E101" s="28"/>
      <c r="F101" s="28"/>
      <c r="G101" s="34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</row>
    <row r="102" spans="2:23" x14ac:dyDescent="0.25">
      <c r="B102" s="28" t="s">
        <v>5</v>
      </c>
      <c r="C102" s="28"/>
      <c r="D102" s="28"/>
      <c r="E102" s="28"/>
      <c r="F102" s="28"/>
      <c r="G102" s="46">
        <f>G76</f>
        <v>809844</v>
      </c>
      <c r="H102" s="46">
        <f>$G$76*(1+-0.35)</f>
        <v>526398.6</v>
      </c>
      <c r="I102" s="46">
        <f>$G$76*(1+-0.3)</f>
        <v>566890.79999999993</v>
      </c>
      <c r="J102" s="46">
        <f>$G$76*(1+-0.25)</f>
        <v>607383</v>
      </c>
      <c r="K102" s="46">
        <f>$G$76*(1+-0.2)</f>
        <v>647875.20000000007</v>
      </c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</row>
    <row r="103" spans="2:23" ht="16.5" thickBot="1" x14ac:dyDescent="0.3">
      <c r="B103" s="28" t="s">
        <v>114</v>
      </c>
      <c r="C103" s="28"/>
      <c r="D103" s="28"/>
      <c r="E103" s="28"/>
      <c r="F103" s="28"/>
      <c r="G103" s="59">
        <f>G80</f>
        <v>0.14665787484997111</v>
      </c>
      <c r="H103" s="59">
        <v>0.1</v>
      </c>
      <c r="I103" s="59">
        <v>0.1</v>
      </c>
      <c r="J103" s="59">
        <v>0.1</v>
      </c>
      <c r="K103" s="59">
        <v>0.1</v>
      </c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</row>
    <row r="104" spans="2:23" x14ac:dyDescent="0.25">
      <c r="B104" s="32" t="s">
        <v>8</v>
      </c>
      <c r="C104" s="28"/>
      <c r="D104" s="28"/>
      <c r="E104" s="28"/>
      <c r="F104" s="28"/>
      <c r="G104" s="48">
        <f>G102*G103</f>
        <v>118770.00000000001</v>
      </c>
      <c r="H104" s="48">
        <f t="shared" ref="H104:K104" si="35">H102*H103</f>
        <v>52639.86</v>
      </c>
      <c r="I104" s="48">
        <f t="shared" si="35"/>
        <v>56689.079999999994</v>
      </c>
      <c r="J104" s="48">
        <f t="shared" si="35"/>
        <v>60738.3</v>
      </c>
      <c r="K104" s="48">
        <f t="shared" si="35"/>
        <v>64787.520000000011</v>
      </c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</row>
    <row r="105" spans="2:23" x14ac:dyDescent="0.25"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</row>
    <row r="106" spans="2:23" x14ac:dyDescent="0.25">
      <c r="B106" s="28" t="s">
        <v>144</v>
      </c>
      <c r="C106" s="28"/>
      <c r="D106" s="28"/>
      <c r="E106" s="28"/>
      <c r="F106" s="28"/>
      <c r="G106" s="66">
        <f>K18/G102</f>
        <v>1.3196368683351362E-2</v>
      </c>
      <c r="H106" s="66">
        <v>1.4999999999999999E-2</v>
      </c>
      <c r="I106" s="66">
        <v>1.4999999999999999E-2</v>
      </c>
      <c r="J106" s="66">
        <v>1.4999999999999999E-2</v>
      </c>
      <c r="K106" s="66">
        <v>1.4999999999999999E-2</v>
      </c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</row>
    <row r="107" spans="2:23" ht="16.5" thickBot="1" x14ac:dyDescent="0.3">
      <c r="B107" s="28" t="s">
        <v>145</v>
      </c>
      <c r="C107" s="28"/>
      <c r="D107" s="28"/>
      <c r="E107" s="28"/>
      <c r="F107" s="28"/>
      <c r="G107" s="56">
        <f>K18</f>
        <v>10687</v>
      </c>
      <c r="H107" s="56">
        <f t="shared" ref="H107:K107" si="36">H102*H106</f>
        <v>7895.9789999999994</v>
      </c>
      <c r="I107" s="56">
        <f t="shared" si="36"/>
        <v>8503.3619999999992</v>
      </c>
      <c r="J107" s="56">
        <f t="shared" si="36"/>
        <v>9110.744999999999</v>
      </c>
      <c r="K107" s="56">
        <f t="shared" si="36"/>
        <v>9718.1280000000006</v>
      </c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</row>
    <row r="108" spans="2:23" x14ac:dyDescent="0.25">
      <c r="B108" s="32" t="s">
        <v>10</v>
      </c>
      <c r="C108" s="28"/>
      <c r="D108" s="28"/>
      <c r="E108" s="28"/>
      <c r="F108" s="28"/>
      <c r="G108" s="34">
        <f>G104+G107</f>
        <v>129457.00000000001</v>
      </c>
      <c r="H108" s="34">
        <f t="shared" ref="H108:K108" si="37">H104+H107</f>
        <v>60535.839</v>
      </c>
      <c r="I108" s="34">
        <f t="shared" si="37"/>
        <v>65192.441999999995</v>
      </c>
      <c r="J108" s="34">
        <f t="shared" si="37"/>
        <v>69849.044999999998</v>
      </c>
      <c r="K108" s="34">
        <f t="shared" si="37"/>
        <v>74505.648000000016</v>
      </c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</row>
    <row r="109" spans="2:23" x14ac:dyDescent="0.25"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</row>
    <row r="110" spans="2:23" x14ac:dyDescent="0.25">
      <c r="B110" s="32" t="s">
        <v>147</v>
      </c>
      <c r="C110" s="28"/>
      <c r="D110" s="28"/>
      <c r="E110" s="28"/>
      <c r="F110" s="28"/>
      <c r="G110" s="67">
        <f>$D$118/G104</f>
        <v>5.0982282562936767</v>
      </c>
      <c r="H110" s="67">
        <f t="shared" ref="H110:K110" si="38">$D$118/H104</f>
        <v>11.503004947201608</v>
      </c>
      <c r="I110" s="67">
        <f t="shared" si="38"/>
        <v>10.68136173668721</v>
      </c>
      <c r="J110" s="67">
        <f t="shared" si="38"/>
        <v>9.9692709542413933</v>
      </c>
      <c r="K110" s="67">
        <f t="shared" si="38"/>
        <v>9.3461915196013052</v>
      </c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</row>
    <row r="111" spans="2:23" x14ac:dyDescent="0.25">
      <c r="B111" s="32" t="s">
        <v>146</v>
      </c>
      <c r="C111" s="28"/>
      <c r="D111" s="28"/>
      <c r="E111" s="28"/>
      <c r="F111" s="28"/>
      <c r="G111" s="67">
        <f>$D$118/G108</f>
        <v>4.6773567284889968</v>
      </c>
      <c r="H111" s="67">
        <f t="shared" ref="H111:K111" si="39">$D$118/H108</f>
        <v>10.002612997566617</v>
      </c>
      <c r="I111" s="67">
        <f t="shared" si="39"/>
        <v>9.2881406405975735</v>
      </c>
      <c r="J111" s="67">
        <f t="shared" si="39"/>
        <v>8.6689312645577346</v>
      </c>
      <c r="K111" s="67">
        <f t="shared" si="39"/>
        <v>8.127123060522873</v>
      </c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</row>
    <row r="112" spans="2:23" x14ac:dyDescent="0.25"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</row>
    <row r="113" spans="2:23" x14ac:dyDescent="0.25">
      <c r="B113" s="32" t="s">
        <v>151</v>
      </c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</row>
    <row r="114" spans="2:23" x14ac:dyDescent="0.25">
      <c r="B114" s="28" t="s">
        <v>148</v>
      </c>
      <c r="C114" s="28"/>
      <c r="D114" s="28">
        <v>12.21</v>
      </c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</row>
    <row r="115" spans="2:23" x14ac:dyDescent="0.25">
      <c r="B115" s="28" t="s">
        <v>131</v>
      </c>
      <c r="C115" s="28"/>
      <c r="D115" s="30">
        <f>G94</f>
        <v>56317</v>
      </c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</row>
    <row r="116" spans="2:23" x14ac:dyDescent="0.25">
      <c r="B116" s="32" t="s">
        <v>149</v>
      </c>
      <c r="C116" s="28"/>
      <c r="D116" s="34">
        <f>D114*D115</f>
        <v>687630.57000000007</v>
      </c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</row>
    <row r="117" spans="2:23" x14ac:dyDescent="0.25">
      <c r="B117" s="28" t="s">
        <v>78</v>
      </c>
      <c r="C117" s="28"/>
      <c r="D117" s="30">
        <f>'BS Analysis '!L52</f>
        <v>-82114</v>
      </c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</row>
    <row r="118" spans="2:23" x14ac:dyDescent="0.25">
      <c r="B118" s="32" t="s">
        <v>150</v>
      </c>
      <c r="C118" s="28"/>
      <c r="D118" s="34">
        <f>D116+D117</f>
        <v>605516.57000000007</v>
      </c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</row>
    <row r="119" spans="2:23" x14ac:dyDescent="0.25"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</row>
    <row r="120" spans="2:23" x14ac:dyDescent="0.25"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</row>
    <row r="121" spans="2:23" x14ac:dyDescent="0.25"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</row>
    <row r="122" spans="2:23" x14ac:dyDescent="0.25"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</row>
    <row r="123" spans="2:23" x14ac:dyDescent="0.25"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</row>
    <row r="124" spans="2:23" x14ac:dyDescent="0.25"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</row>
    <row r="125" spans="2:23" x14ac:dyDescent="0.25"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</row>
    <row r="126" spans="2:23" x14ac:dyDescent="0.25"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</row>
    <row r="127" spans="2:23" x14ac:dyDescent="0.25"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</row>
    <row r="128" spans="2:23" x14ac:dyDescent="0.25"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</row>
    <row r="129" spans="2:23" x14ac:dyDescent="0.25"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</row>
    <row r="130" spans="2:23" x14ac:dyDescent="0.25"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</row>
    <row r="131" spans="2:23" x14ac:dyDescent="0.25"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</row>
    <row r="132" spans="2:23" x14ac:dyDescent="0.25"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</row>
    <row r="133" spans="2:23" x14ac:dyDescent="0.25"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</row>
    <row r="134" spans="2:23" x14ac:dyDescent="0.25"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</row>
    <row r="135" spans="2:23" x14ac:dyDescent="0.25"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</row>
    <row r="136" spans="2:23" x14ac:dyDescent="0.25"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</row>
    <row r="137" spans="2:23" x14ac:dyDescent="0.25"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</row>
    <row r="138" spans="2:23" x14ac:dyDescent="0.25"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</row>
    <row r="139" spans="2:23" x14ac:dyDescent="0.25"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</row>
    <row r="140" spans="2:23" x14ac:dyDescent="0.25"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</row>
    <row r="141" spans="2:23" x14ac:dyDescent="0.25"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</row>
    <row r="142" spans="2:23" x14ac:dyDescent="0.25"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</row>
    <row r="143" spans="2:23" x14ac:dyDescent="0.25"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</row>
    <row r="144" spans="2:23" x14ac:dyDescent="0.25"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</row>
    <row r="145" spans="2:23" x14ac:dyDescent="0.25"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</row>
    <row r="146" spans="2:23" x14ac:dyDescent="0.25"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</row>
    <row r="147" spans="2:23" x14ac:dyDescent="0.25"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</row>
    <row r="148" spans="2:23" x14ac:dyDescent="0.25"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</row>
    <row r="149" spans="2:23" x14ac:dyDescent="0.25"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</row>
    <row r="150" spans="2:23" x14ac:dyDescent="0.25"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</row>
    <row r="151" spans="2:23" x14ac:dyDescent="0.25"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</row>
    <row r="152" spans="2:23" x14ac:dyDescent="0.25"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</row>
    <row r="153" spans="2:23" x14ac:dyDescent="0.25"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</row>
    <row r="154" spans="2:23" x14ac:dyDescent="0.25"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</row>
    <row r="155" spans="2:23" x14ac:dyDescent="0.25"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</row>
    <row r="156" spans="2:23" x14ac:dyDescent="0.25"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</row>
    <row r="157" spans="2:23" x14ac:dyDescent="0.25"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</row>
    <row r="158" spans="2:23" x14ac:dyDescent="0.25"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</row>
    <row r="159" spans="2:23" x14ac:dyDescent="0.25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</row>
    <row r="160" spans="2:23" x14ac:dyDescent="0.25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</row>
    <row r="161" spans="2:23" x14ac:dyDescent="0.25"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</row>
    <row r="162" spans="2:23" x14ac:dyDescent="0.25"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</row>
    <row r="163" spans="2:23" x14ac:dyDescent="0.25"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</row>
    <row r="164" spans="2:23" x14ac:dyDescent="0.25"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</row>
    <row r="165" spans="2:23" x14ac:dyDescent="0.25"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</row>
    <row r="166" spans="2:23" x14ac:dyDescent="0.25"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</row>
    <row r="167" spans="2:23" x14ac:dyDescent="0.25"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</row>
    <row r="168" spans="2:23" x14ac:dyDescent="0.25"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</row>
    <row r="169" spans="2:23" x14ac:dyDescent="0.25"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</row>
    <row r="170" spans="2:23" x14ac:dyDescent="0.25"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</row>
    <row r="171" spans="2:23" x14ac:dyDescent="0.25"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</row>
    <row r="172" spans="2:23" x14ac:dyDescent="0.25"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</row>
    <row r="173" spans="2:23" x14ac:dyDescent="0.25"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</row>
    <row r="174" spans="2:23" x14ac:dyDescent="0.25"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</row>
    <row r="175" spans="2:23" x14ac:dyDescent="0.25"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</row>
    <row r="176" spans="2:23" x14ac:dyDescent="0.25"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</row>
    <row r="177" spans="2:23" x14ac:dyDescent="0.25"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</row>
    <row r="178" spans="2:23" x14ac:dyDescent="0.25"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</row>
    <row r="179" spans="2:23" x14ac:dyDescent="0.25"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</row>
    <row r="180" spans="2:23" x14ac:dyDescent="0.25"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</row>
    <row r="181" spans="2:23" x14ac:dyDescent="0.25"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</row>
    <row r="182" spans="2:23" x14ac:dyDescent="0.25"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</row>
    <row r="183" spans="2:23" x14ac:dyDescent="0.25"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</row>
    <row r="184" spans="2:23" x14ac:dyDescent="0.25"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</row>
    <row r="185" spans="2:23" x14ac:dyDescent="0.25"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</row>
    <row r="186" spans="2:23" x14ac:dyDescent="0.25"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</row>
    <row r="187" spans="2:23" x14ac:dyDescent="0.25"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</row>
    <row r="188" spans="2:23" x14ac:dyDescent="0.25"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</row>
    <row r="189" spans="2:23" x14ac:dyDescent="0.25"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</row>
    <row r="190" spans="2:23" x14ac:dyDescent="0.25"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</row>
    <row r="191" spans="2:23" x14ac:dyDescent="0.25"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</row>
    <row r="192" spans="2:23" x14ac:dyDescent="0.25"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</row>
    <row r="193" spans="2:23" x14ac:dyDescent="0.25"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</row>
    <row r="194" spans="2:23" x14ac:dyDescent="0.25"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</row>
    <row r="195" spans="2:23" x14ac:dyDescent="0.25"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</row>
    <row r="196" spans="2:23" x14ac:dyDescent="0.25"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</row>
    <row r="197" spans="2:23" x14ac:dyDescent="0.25"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</row>
    <row r="198" spans="2:23" x14ac:dyDescent="0.25"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AE034-8FE2-4369-A4CA-FDFC8889563C}">
  <dimension ref="A2:T71"/>
  <sheetViews>
    <sheetView showGridLines="0" tabSelected="1" topLeftCell="A15" workbookViewId="0">
      <selection activeCell="M30" sqref="M30"/>
    </sheetView>
  </sheetViews>
  <sheetFormatPr defaultRowHeight="15.75" x14ac:dyDescent="0.25"/>
  <cols>
    <col min="1" max="6" width="9.140625" style="4"/>
    <col min="7" max="14" width="12.85546875" style="4" customWidth="1"/>
    <col min="15" max="16384" width="9.140625" style="4"/>
  </cols>
  <sheetData>
    <row r="2" spans="1:20" ht="26.25" x14ac:dyDescent="0.4">
      <c r="B2" s="1" t="s">
        <v>156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20" ht="16.5" thickBot="1" x14ac:dyDescent="0.3">
      <c r="B4" s="12" t="s">
        <v>6</v>
      </c>
      <c r="G4" s="5">
        <v>2021</v>
      </c>
      <c r="H4" s="5">
        <v>2022</v>
      </c>
      <c r="I4" s="5">
        <v>2023</v>
      </c>
      <c r="J4" s="5">
        <f t="shared" ref="J4:K4" si="0">I4+1</f>
        <v>2024</v>
      </c>
      <c r="K4" s="5">
        <f t="shared" si="0"/>
        <v>2025</v>
      </c>
      <c r="L4" s="47" t="s">
        <v>165</v>
      </c>
      <c r="M4" s="47" t="s">
        <v>166</v>
      </c>
      <c r="N4" s="47" t="s">
        <v>167</v>
      </c>
    </row>
    <row r="5" spans="1:20" x14ac:dyDescent="0.25">
      <c r="G5" s="8"/>
      <c r="H5" s="8"/>
      <c r="I5" s="8"/>
      <c r="J5" s="8"/>
      <c r="K5" s="8"/>
    </row>
    <row r="6" spans="1:20" x14ac:dyDescent="0.25">
      <c r="B6" s="4" t="s">
        <v>5</v>
      </c>
      <c r="G6" s="9">
        <v>222555</v>
      </c>
      <c r="H6" s="9">
        <v>324520</v>
      </c>
      <c r="I6" s="9">
        <v>508685</v>
      </c>
      <c r="J6" s="9">
        <v>647040</v>
      </c>
      <c r="K6" s="9">
        <v>809844</v>
      </c>
      <c r="L6" s="9">
        <v>197940</v>
      </c>
      <c r="M6" s="9">
        <v>180517</v>
      </c>
      <c r="N6" s="9">
        <f>SUM(L6:M6)</f>
        <v>378457</v>
      </c>
    </row>
    <row r="7" spans="1:20" ht="16.5" thickBot="1" x14ac:dyDescent="0.3">
      <c r="B7" s="4" t="s">
        <v>7</v>
      </c>
      <c r="G7" s="6">
        <v>-69374</v>
      </c>
      <c r="H7" s="6">
        <v>-106470</v>
      </c>
      <c r="I7" s="6">
        <v>-150456</v>
      </c>
      <c r="J7" s="6">
        <v>-178718</v>
      </c>
      <c r="K7" s="6">
        <v>-221138</v>
      </c>
      <c r="L7" s="6">
        <v>-59970</v>
      </c>
      <c r="M7" s="6">
        <v>-56571</v>
      </c>
      <c r="N7" s="6">
        <f t="shared" ref="N7" si="1">SUM(L7:M7)</f>
        <v>-116541</v>
      </c>
    </row>
    <row r="8" spans="1:20" x14ac:dyDescent="0.25">
      <c r="B8" s="7" t="s">
        <v>2</v>
      </c>
      <c r="G8" s="10">
        <v>153181</v>
      </c>
      <c r="H8" s="10">
        <v>218050</v>
      </c>
      <c r="I8" s="10">
        <v>358229</v>
      </c>
      <c r="J8" s="10">
        <v>468322</v>
      </c>
      <c r="K8" s="10">
        <v>588706</v>
      </c>
      <c r="L8" s="10">
        <f>SUM(L6:L7)</f>
        <v>137970</v>
      </c>
      <c r="M8" s="10">
        <f t="shared" ref="M8:N8" si="2">SUM(M6:M7)</f>
        <v>123946</v>
      </c>
      <c r="N8" s="10">
        <f t="shared" si="2"/>
        <v>261916</v>
      </c>
    </row>
    <row r="9" spans="1:20" x14ac:dyDescent="0.25">
      <c r="B9" s="7" t="s">
        <v>152</v>
      </c>
      <c r="G9" s="69">
        <f>G8/G6</f>
        <v>0.68828379501696213</v>
      </c>
      <c r="H9" s="69">
        <f t="shared" ref="H9:N9" si="3">H8/H6</f>
        <v>0.67191544434857631</v>
      </c>
      <c r="I9" s="69">
        <f t="shared" si="3"/>
        <v>0.70422560130532652</v>
      </c>
      <c r="J9" s="69">
        <f t="shared" si="3"/>
        <v>0.72379141938674585</v>
      </c>
      <c r="K9" s="69">
        <f t="shared" si="3"/>
        <v>0.7269375336484557</v>
      </c>
      <c r="L9" s="69">
        <f t="shared" si="3"/>
        <v>0.69702940284934833</v>
      </c>
      <c r="M9" s="69">
        <f t="shared" si="3"/>
        <v>0.68661677293551304</v>
      </c>
      <c r="N9" s="69">
        <f t="shared" si="3"/>
        <v>0.69206277067143696</v>
      </c>
    </row>
    <row r="11" spans="1:20" ht="16.5" thickBot="1" x14ac:dyDescent="0.3">
      <c r="B11" s="14" t="s">
        <v>3</v>
      </c>
      <c r="G11" s="6">
        <v>-133669</v>
      </c>
      <c r="H11" s="6">
        <v>-190385</v>
      </c>
      <c r="I11" s="6">
        <v>-283911</v>
      </c>
      <c r="J11" s="6">
        <v>-352722</v>
      </c>
      <c r="K11" s="6">
        <v>-469936</v>
      </c>
      <c r="L11" s="6">
        <v>-163460</v>
      </c>
      <c r="M11" s="6">
        <v>-125206</v>
      </c>
      <c r="N11" s="6">
        <f t="shared" ref="N11" si="4">SUM(L11:M11)</f>
        <v>-288666</v>
      </c>
    </row>
    <row r="12" spans="1:20" x14ac:dyDescent="0.25">
      <c r="A12" s="71"/>
      <c r="B12" s="15" t="s">
        <v>8</v>
      </c>
      <c r="G12" s="10">
        <v>19512</v>
      </c>
      <c r="H12" s="10">
        <v>27665</v>
      </c>
      <c r="I12" s="10">
        <v>74318</v>
      </c>
      <c r="J12" s="10">
        <v>115600</v>
      </c>
      <c r="K12" s="10">
        <v>118770</v>
      </c>
      <c r="L12" s="10">
        <f>L8+L11</f>
        <v>-25490</v>
      </c>
      <c r="M12" s="10">
        <f t="shared" ref="M12:N12" si="5">M8+M11</f>
        <v>-1260</v>
      </c>
      <c r="N12" s="10">
        <f t="shared" si="5"/>
        <v>-26750</v>
      </c>
    </row>
    <row r="13" spans="1:20" x14ac:dyDescent="0.25">
      <c r="B13" s="15" t="s">
        <v>153</v>
      </c>
      <c r="G13" s="69">
        <f>G12/G6</f>
        <v>8.7672710116600397E-2</v>
      </c>
      <c r="H13" s="69">
        <f t="shared" ref="H13:L13" si="6">H12/H6</f>
        <v>8.5248983113521512E-2</v>
      </c>
      <c r="I13" s="69">
        <f t="shared" si="6"/>
        <v>0.14609827299802433</v>
      </c>
      <c r="J13" s="69">
        <f t="shared" si="6"/>
        <v>0.17865974282888231</v>
      </c>
      <c r="K13" s="69">
        <f t="shared" si="6"/>
        <v>0.14665787484997111</v>
      </c>
      <c r="L13" s="69">
        <f t="shared" si="6"/>
        <v>-0.12877639688794584</v>
      </c>
      <c r="M13" s="69">
        <f t="shared" ref="M13:N13" si="7">M12/M6</f>
        <v>-6.9799520266789275E-3</v>
      </c>
      <c r="N13" s="69">
        <f t="shared" si="7"/>
        <v>-7.0681741915197757E-2</v>
      </c>
    </row>
    <row r="14" spans="1:20" x14ac:dyDescent="0.25">
      <c r="B14" s="11"/>
      <c r="G14" s="9"/>
      <c r="H14" s="9"/>
      <c r="I14" s="9"/>
      <c r="J14" s="9"/>
      <c r="K14" s="9"/>
      <c r="L14" s="9"/>
    </row>
    <row r="15" spans="1:20" ht="16.5" thickBot="1" x14ac:dyDescent="0.3">
      <c r="B15" s="14" t="s">
        <v>9</v>
      </c>
      <c r="G15" s="6">
        <v>4006</v>
      </c>
      <c r="H15" s="6">
        <v>4408</v>
      </c>
      <c r="I15" s="6">
        <v>8605</v>
      </c>
      <c r="J15" s="6">
        <v>9827</v>
      </c>
      <c r="K15" s="6">
        <v>10687</v>
      </c>
      <c r="L15" s="6">
        <v>4269</v>
      </c>
      <c r="M15" s="6">
        <v>3232</v>
      </c>
      <c r="N15" s="6">
        <v>7501</v>
      </c>
      <c r="S15" s="9"/>
      <c r="T15" s="9"/>
    </row>
    <row r="16" spans="1:20" x14ac:dyDescent="0.25">
      <c r="B16" s="15" t="s">
        <v>10</v>
      </c>
      <c r="G16" s="10">
        <v>23518</v>
      </c>
      <c r="H16" s="10">
        <v>32073</v>
      </c>
      <c r="I16" s="10">
        <v>82923</v>
      </c>
      <c r="J16" s="10">
        <v>125427</v>
      </c>
      <c r="K16" s="10">
        <v>129457</v>
      </c>
      <c r="L16" s="10">
        <f>L12+L15</f>
        <v>-21221</v>
      </c>
      <c r="M16" s="10">
        <f t="shared" ref="M16:N16" si="8">M12+M15</f>
        <v>1972</v>
      </c>
      <c r="N16" s="10">
        <f t="shared" si="8"/>
        <v>-19249</v>
      </c>
      <c r="S16" s="10"/>
      <c r="T16" s="10"/>
    </row>
    <row r="17" spans="2:20" x14ac:dyDescent="0.25">
      <c r="B17" s="15" t="s">
        <v>59</v>
      </c>
      <c r="G17" s="69">
        <f>G16/G6</f>
        <v>0.10567275504931366</v>
      </c>
      <c r="H17" s="69">
        <f t="shared" ref="H17:L17" si="9">H16/H6</f>
        <v>9.8832121286823615E-2</v>
      </c>
      <c r="I17" s="69">
        <f t="shared" si="9"/>
        <v>0.16301443919124803</v>
      </c>
      <c r="J17" s="69">
        <f t="shared" si="9"/>
        <v>0.19384736646884274</v>
      </c>
      <c r="K17" s="69">
        <f t="shared" si="9"/>
        <v>0.15985424353332248</v>
      </c>
      <c r="L17" s="69">
        <f t="shared" si="9"/>
        <v>-0.10720925532989795</v>
      </c>
      <c r="M17" s="69">
        <f t="shared" ref="M17:N17" si="10">M16/M6</f>
        <v>1.0924178886199084E-2</v>
      </c>
      <c r="N17" s="69">
        <f t="shared" si="10"/>
        <v>-5.0861788789743616E-2</v>
      </c>
    </row>
    <row r="18" spans="2:20" x14ac:dyDescent="0.25">
      <c r="B18" s="15"/>
      <c r="G18" s="69"/>
      <c r="H18" s="69"/>
      <c r="I18" s="69"/>
      <c r="J18" s="69"/>
      <c r="K18" s="69"/>
      <c r="L18" s="69"/>
      <c r="S18" s="9"/>
      <c r="T18" s="9"/>
    </row>
    <row r="19" spans="2:20" x14ac:dyDescent="0.25">
      <c r="B19" s="7" t="s">
        <v>112</v>
      </c>
      <c r="G19" s="10"/>
      <c r="H19" s="10"/>
      <c r="I19" s="10"/>
      <c r="J19" s="10"/>
      <c r="K19" s="10"/>
      <c r="L19" s="10"/>
      <c r="S19" s="10"/>
      <c r="T19" s="10"/>
    </row>
    <row r="20" spans="2:20" x14ac:dyDescent="0.25">
      <c r="B20" s="27" t="s">
        <v>113</v>
      </c>
      <c r="G20" s="18">
        <v>-63771</v>
      </c>
      <c r="H20" s="18">
        <v>-92048</v>
      </c>
      <c r="I20" s="18">
        <v>-125625</v>
      </c>
      <c r="J20" s="18">
        <v>-164370</v>
      </c>
      <c r="K20" s="18">
        <v>-245741</v>
      </c>
      <c r="L20" s="18">
        <f>L21*L11</f>
        <v>-89903</v>
      </c>
      <c r="M20" s="18"/>
    </row>
    <row r="21" spans="2:20" x14ac:dyDescent="0.25">
      <c r="B21" s="27" t="s">
        <v>155</v>
      </c>
      <c r="G21" s="41">
        <f>G20/G11</f>
        <v>0.47708144745602943</v>
      </c>
      <c r="H21" s="41">
        <f t="shared" ref="H21:K21" si="11">H20/H11</f>
        <v>0.48348346771016626</v>
      </c>
      <c r="I21" s="41">
        <f t="shared" si="11"/>
        <v>0.44248021386983949</v>
      </c>
      <c r="J21" s="41">
        <f t="shared" si="11"/>
        <v>0.46600438872539846</v>
      </c>
      <c r="K21" s="41">
        <f t="shared" si="11"/>
        <v>0.52292439821592729</v>
      </c>
      <c r="L21" s="41">
        <v>0.55000000000000004</v>
      </c>
      <c r="S21" s="9"/>
      <c r="T21" s="9"/>
    </row>
    <row r="22" spans="2:20" x14ac:dyDescent="0.25">
      <c r="S22" s="10"/>
      <c r="T22" s="10"/>
    </row>
    <row r="23" spans="2:20" ht="16.5" thickBot="1" x14ac:dyDescent="0.3">
      <c r="B23" s="4" t="s">
        <v>11</v>
      </c>
      <c r="G23" s="6">
        <v>-877</v>
      </c>
      <c r="H23" s="6">
        <v>1247</v>
      </c>
      <c r="I23" s="6">
        <v>4283</v>
      </c>
      <c r="J23" s="6">
        <v>12306</v>
      </c>
      <c r="K23" s="6">
        <v>16935</v>
      </c>
      <c r="L23" s="6">
        <v>5306</v>
      </c>
      <c r="M23" s="6">
        <v>16533</v>
      </c>
      <c r="N23" s="6">
        <v>21839</v>
      </c>
    </row>
    <row r="24" spans="2:20" x14ac:dyDescent="0.25">
      <c r="B24" s="7" t="s">
        <v>12</v>
      </c>
      <c r="G24" s="10">
        <v>18635</v>
      </c>
      <c r="H24" s="10">
        <v>28912</v>
      </c>
      <c r="I24" s="10">
        <v>78601</v>
      </c>
      <c r="J24" s="10">
        <v>127906</v>
      </c>
      <c r="K24" s="10">
        <v>135705</v>
      </c>
      <c r="L24" s="10">
        <f>L12+L23</f>
        <v>-20184</v>
      </c>
      <c r="M24" s="10">
        <f t="shared" ref="M24:N24" si="12">M12+M23</f>
        <v>15273</v>
      </c>
      <c r="N24" s="10">
        <f t="shared" si="12"/>
        <v>-4911</v>
      </c>
    </row>
    <row r="26" spans="2:20" ht="16.5" thickBot="1" x14ac:dyDescent="0.3">
      <c r="B26" s="4" t="s">
        <v>13</v>
      </c>
      <c r="G26" s="6">
        <v>-4715</v>
      </c>
      <c r="H26" s="6">
        <v>-7184</v>
      </c>
      <c r="I26" s="6">
        <v>-20067</v>
      </c>
      <c r="J26" s="6">
        <v>-26415</v>
      </c>
      <c r="K26" s="6">
        <v>-24960</v>
      </c>
      <c r="L26" s="6">
        <v>-1177</v>
      </c>
      <c r="M26" s="6">
        <v>-2383</v>
      </c>
      <c r="N26" s="6">
        <v>-3560</v>
      </c>
    </row>
    <row r="27" spans="2:20" x14ac:dyDescent="0.25">
      <c r="B27" s="7" t="s">
        <v>14</v>
      </c>
      <c r="G27" s="10">
        <v>13920</v>
      </c>
      <c r="H27" s="10">
        <v>21728</v>
      </c>
      <c r="I27" s="10">
        <v>58534</v>
      </c>
      <c r="J27" s="10">
        <v>101491</v>
      </c>
      <c r="K27" s="10">
        <v>110745</v>
      </c>
      <c r="L27" s="10">
        <f>L24+L26</f>
        <v>-21361</v>
      </c>
      <c r="M27" s="10">
        <f t="shared" ref="M27:N27" si="13">M24+M26</f>
        <v>12890</v>
      </c>
      <c r="N27" s="10">
        <f t="shared" si="13"/>
        <v>-8471</v>
      </c>
    </row>
    <row r="28" spans="2:20" x14ac:dyDescent="0.25">
      <c r="B28" s="7"/>
      <c r="G28" s="10"/>
      <c r="H28" s="10"/>
      <c r="I28" s="10"/>
      <c r="J28" s="10"/>
      <c r="K28" s="10"/>
      <c r="L28" s="10"/>
    </row>
    <row r="29" spans="2:20" x14ac:dyDescent="0.25">
      <c r="B29" s="7" t="s">
        <v>112</v>
      </c>
      <c r="G29" s="10"/>
      <c r="H29" s="10"/>
      <c r="I29" s="10"/>
      <c r="J29" s="10"/>
      <c r="K29" s="10"/>
      <c r="L29" s="10"/>
    </row>
    <row r="30" spans="2:20" x14ac:dyDescent="0.25">
      <c r="B30" s="27" t="s">
        <v>113</v>
      </c>
      <c r="G30" s="18">
        <v>-63771</v>
      </c>
      <c r="H30" s="18">
        <v>-92048</v>
      </c>
      <c r="I30" s="18">
        <v>-125625</v>
      </c>
      <c r="J30" s="18">
        <v>-164370</v>
      </c>
      <c r="K30" s="18">
        <v>-245741</v>
      </c>
      <c r="L30" s="18">
        <f>L11*L31</f>
        <v>-89903</v>
      </c>
      <c r="M30" s="18">
        <f>M11*M31</f>
        <v>-68863.3</v>
      </c>
      <c r="N30" s="18">
        <f>N11*N31</f>
        <v>-158766.30000000002</v>
      </c>
    </row>
    <row r="31" spans="2:20" x14ac:dyDescent="0.25">
      <c r="B31" s="27" t="s">
        <v>155</v>
      </c>
      <c r="G31" s="41">
        <f>G30/G11</f>
        <v>0.47708144745602943</v>
      </c>
      <c r="H31" s="41">
        <f>H30/H11</f>
        <v>0.48348346771016626</v>
      </c>
      <c r="I31" s="41">
        <f>I30/I11</f>
        <v>0.44248021386983949</v>
      </c>
      <c r="J31" s="41">
        <f>J30/J11</f>
        <v>0.46600438872539846</v>
      </c>
      <c r="K31" s="41">
        <f>K30/K11</f>
        <v>0.52292439821592729</v>
      </c>
      <c r="L31" s="41">
        <v>0.55000000000000004</v>
      </c>
      <c r="M31" s="41">
        <v>0.55000000000000004</v>
      </c>
      <c r="N31" s="41">
        <v>0.55000000000000004</v>
      </c>
    </row>
    <row r="34" spans="2:13" ht="26.25" x14ac:dyDescent="0.4">
      <c r="B34" s="1" t="s">
        <v>113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6" spans="2:13" ht="16.5" thickBot="1" x14ac:dyDescent="0.3">
      <c r="B36" s="12" t="s">
        <v>6</v>
      </c>
      <c r="G36" s="49">
        <v>2021</v>
      </c>
      <c r="H36" s="49">
        <v>2022</v>
      </c>
      <c r="I36" s="49">
        <v>2023</v>
      </c>
      <c r="J36" s="49">
        <v>2024</v>
      </c>
      <c r="K36" s="49">
        <v>2025</v>
      </c>
      <c r="L36" s="49" t="s">
        <v>154</v>
      </c>
    </row>
    <row r="37" spans="2:13" x14ac:dyDescent="0.25">
      <c r="B37" s="12"/>
      <c r="G37" s="70"/>
      <c r="H37" s="70"/>
      <c r="I37" s="70"/>
      <c r="J37" s="70"/>
      <c r="K37" s="70"/>
      <c r="L37" s="70"/>
    </row>
    <row r="38" spans="2:13" x14ac:dyDescent="0.25">
      <c r="B38" s="4" t="s">
        <v>5</v>
      </c>
      <c r="G38" s="9">
        <v>222555</v>
      </c>
      <c r="H38" s="9">
        <v>324520</v>
      </c>
      <c r="I38" s="9">
        <v>508685</v>
      </c>
      <c r="J38" s="9">
        <v>647040</v>
      </c>
      <c r="K38" s="9">
        <v>809844</v>
      </c>
      <c r="L38" s="9">
        <v>197940</v>
      </c>
    </row>
    <row r="39" spans="2:13" x14ac:dyDescent="0.25">
      <c r="B39" s="12"/>
      <c r="G39" s="70"/>
      <c r="H39" s="70"/>
      <c r="I39" s="70"/>
      <c r="J39" s="70"/>
      <c r="K39" s="70"/>
      <c r="L39" s="70"/>
    </row>
    <row r="40" spans="2:13" x14ac:dyDescent="0.25">
      <c r="B40" s="7" t="s">
        <v>112</v>
      </c>
      <c r="G40" s="10"/>
      <c r="H40" s="10"/>
      <c r="I40" s="10"/>
      <c r="J40" s="10"/>
      <c r="K40" s="10"/>
      <c r="L40" s="10"/>
    </row>
    <row r="41" spans="2:13" x14ac:dyDescent="0.25">
      <c r="B41" s="27" t="s">
        <v>113</v>
      </c>
      <c r="G41" s="18">
        <v>-63771</v>
      </c>
      <c r="H41" s="18">
        <v>-92048</v>
      </c>
      <c r="I41" s="18">
        <v>-125625</v>
      </c>
      <c r="J41" s="18">
        <v>-164370</v>
      </c>
      <c r="K41" s="18">
        <v>-245741</v>
      </c>
      <c r="L41" s="18">
        <v>-89903</v>
      </c>
    </row>
    <row r="42" spans="2:13" x14ac:dyDescent="0.25">
      <c r="B42" s="27" t="s">
        <v>155</v>
      </c>
      <c r="G42" s="41">
        <v>0.47708144745602943</v>
      </c>
      <c r="H42" s="41">
        <v>0.48348346771016626</v>
      </c>
      <c r="I42" s="41">
        <v>0.44248021386983949</v>
      </c>
      <c r="J42" s="41">
        <v>0.46600438872539846</v>
      </c>
      <c r="K42" s="41">
        <v>0.52292439821592729</v>
      </c>
      <c r="L42" s="41">
        <v>0.55000000000000004</v>
      </c>
    </row>
    <row r="43" spans="2:13" x14ac:dyDescent="0.25">
      <c r="B43" s="27" t="s">
        <v>61</v>
      </c>
      <c r="G43" s="41">
        <f>-G41/G38</f>
        <v>0.28654040574240075</v>
      </c>
      <c r="H43" s="41">
        <f t="shared" ref="H43:L43" si="14">-H41/H38</f>
        <v>0.28364353506717616</v>
      </c>
      <c r="I43" s="41">
        <f t="shared" si="14"/>
        <v>0.24696029959601717</v>
      </c>
      <c r="J43" s="41">
        <f t="shared" si="14"/>
        <v>0.25403375370919884</v>
      </c>
      <c r="K43" s="41">
        <f t="shared" si="14"/>
        <v>0.3034423913741412</v>
      </c>
      <c r="L43" s="41">
        <f t="shared" si="14"/>
        <v>0.45419318985551177</v>
      </c>
    </row>
    <row r="46" spans="2:13" ht="26.25" x14ac:dyDescent="0.4">
      <c r="B46" s="1" t="s">
        <v>164</v>
      </c>
      <c r="C46" s="2"/>
      <c r="D46" s="2"/>
      <c r="E46" s="2"/>
      <c r="F46" s="2"/>
      <c r="G46" s="2"/>
      <c r="H46" s="2"/>
      <c r="I46" s="2"/>
      <c r="J46" s="2"/>
      <c r="K46" s="2"/>
      <c r="L46" s="2"/>
    </row>
    <row r="48" spans="2:13" ht="16.5" thickBot="1" x14ac:dyDescent="0.3">
      <c r="B48" s="12" t="s">
        <v>6</v>
      </c>
      <c r="G48" s="49" t="s">
        <v>157</v>
      </c>
      <c r="H48" s="49"/>
      <c r="I48" s="49" t="s">
        <v>158</v>
      </c>
      <c r="J48" s="49"/>
      <c r="K48" s="49" t="s">
        <v>159</v>
      </c>
      <c r="L48" s="49"/>
    </row>
    <row r="50" spans="2:12" x14ac:dyDescent="0.25">
      <c r="B50" s="4" t="s">
        <v>5</v>
      </c>
      <c r="G50" s="18">
        <v>550000</v>
      </c>
      <c r="H50" s="18"/>
      <c r="I50" s="18">
        <v>650000</v>
      </c>
      <c r="J50" s="18"/>
      <c r="K50" s="18">
        <v>700000</v>
      </c>
      <c r="L50" s="18"/>
    </row>
    <row r="51" spans="2:12" x14ac:dyDescent="0.25">
      <c r="B51" s="4" t="s">
        <v>153</v>
      </c>
      <c r="G51" s="41">
        <v>0.08</v>
      </c>
      <c r="H51" s="41"/>
      <c r="I51" s="41">
        <v>0.13</v>
      </c>
      <c r="J51" s="41"/>
      <c r="K51" s="41">
        <v>0.16</v>
      </c>
      <c r="L51" s="41"/>
    </row>
    <row r="52" spans="2:12" x14ac:dyDescent="0.25">
      <c r="B52" s="7" t="s">
        <v>8</v>
      </c>
      <c r="G52" s="10">
        <f>G50*G51</f>
        <v>44000</v>
      </c>
      <c r="H52" s="10"/>
      <c r="I52" s="10">
        <f t="shared" ref="I52:K52" si="15">I50*I51</f>
        <v>84500</v>
      </c>
      <c r="J52" s="10"/>
      <c r="K52" s="10">
        <f t="shared" si="15"/>
        <v>112000</v>
      </c>
      <c r="L52" s="18"/>
    </row>
    <row r="53" spans="2:12" x14ac:dyDescent="0.25">
      <c r="G53" s="18"/>
      <c r="H53" s="18"/>
      <c r="I53" s="18"/>
      <c r="J53" s="18"/>
      <c r="K53" s="18"/>
      <c r="L53" s="18"/>
    </row>
    <row r="54" spans="2:12" x14ac:dyDescent="0.25">
      <c r="B54" s="7" t="s">
        <v>147</v>
      </c>
      <c r="G54" s="72">
        <v>10</v>
      </c>
      <c r="H54" s="72"/>
      <c r="I54" s="72">
        <v>12.5</v>
      </c>
      <c r="J54" s="72"/>
      <c r="K54" s="72">
        <v>12.5</v>
      </c>
      <c r="L54" s="72"/>
    </row>
    <row r="55" spans="2:12" x14ac:dyDescent="0.25">
      <c r="G55" s="18"/>
      <c r="H55" s="18"/>
      <c r="I55" s="18"/>
      <c r="J55" s="18"/>
      <c r="K55" s="18"/>
      <c r="L55" s="18"/>
    </row>
    <row r="56" spans="2:12" x14ac:dyDescent="0.25">
      <c r="B56" s="4" t="s">
        <v>160</v>
      </c>
      <c r="G56" s="18">
        <f>G52*G54</f>
        <v>440000</v>
      </c>
      <c r="H56" s="18"/>
      <c r="I56" s="18">
        <f t="shared" ref="I56:K56" si="16">I52*I54</f>
        <v>1056250</v>
      </c>
      <c r="J56" s="18"/>
      <c r="K56" s="18">
        <f t="shared" si="16"/>
        <v>1400000</v>
      </c>
      <c r="L56" s="18"/>
    </row>
    <row r="57" spans="2:12" x14ac:dyDescent="0.25">
      <c r="B57" s="4" t="s">
        <v>161</v>
      </c>
      <c r="G57" s="18">
        <v>0</v>
      </c>
      <c r="H57" s="18"/>
      <c r="I57" s="18">
        <v>0</v>
      </c>
      <c r="J57" s="18"/>
      <c r="K57" s="18">
        <v>0</v>
      </c>
      <c r="L57" s="18"/>
    </row>
    <row r="58" spans="2:12" x14ac:dyDescent="0.25">
      <c r="B58" s="4" t="s">
        <v>124</v>
      </c>
      <c r="G58" s="18">
        <f>G56+G57</f>
        <v>440000</v>
      </c>
      <c r="H58" s="18"/>
      <c r="I58" s="18">
        <f t="shared" ref="I58:K58" si="17">I56+I57</f>
        <v>1056250</v>
      </c>
      <c r="J58" s="18"/>
      <c r="K58" s="18">
        <f t="shared" si="17"/>
        <v>1400000</v>
      </c>
      <c r="L58" s="18"/>
    </row>
    <row r="59" spans="2:12" x14ac:dyDescent="0.25">
      <c r="G59" s="18"/>
      <c r="H59" s="18"/>
      <c r="I59" s="18"/>
      <c r="J59" s="18"/>
      <c r="K59" s="18"/>
      <c r="L59" s="18"/>
    </row>
    <row r="60" spans="2:12" x14ac:dyDescent="0.25">
      <c r="B60" s="4" t="s">
        <v>131</v>
      </c>
      <c r="G60" s="18">
        <v>56000</v>
      </c>
      <c r="H60" s="18"/>
      <c r="I60" s="18">
        <v>56000</v>
      </c>
      <c r="J60" s="18"/>
      <c r="K60" s="18">
        <v>56000</v>
      </c>
      <c r="L60" s="18"/>
    </row>
    <row r="61" spans="2:12" x14ac:dyDescent="0.25">
      <c r="B61" s="7" t="s">
        <v>162</v>
      </c>
      <c r="C61" s="7"/>
      <c r="D61" s="7"/>
      <c r="E61" s="7"/>
      <c r="F61" s="7"/>
      <c r="G61" s="73">
        <f>G58/G60</f>
        <v>7.8571428571428568</v>
      </c>
      <c r="H61" s="73"/>
      <c r="I61" s="73">
        <f t="shared" ref="I61:K61" si="18">I58/I60</f>
        <v>18.861607142857142</v>
      </c>
      <c r="J61" s="73"/>
      <c r="K61" s="73">
        <f t="shared" si="18"/>
        <v>25</v>
      </c>
      <c r="L61" s="18"/>
    </row>
    <row r="62" spans="2:12" x14ac:dyDescent="0.25">
      <c r="B62" s="7" t="s">
        <v>163</v>
      </c>
      <c r="C62" s="7"/>
      <c r="D62" s="7"/>
      <c r="E62" s="7"/>
      <c r="F62" s="7"/>
      <c r="G62" s="68">
        <f>(G61-12.5)/12.5</f>
        <v>-0.37142857142857144</v>
      </c>
      <c r="H62" s="68"/>
      <c r="I62" s="68">
        <f t="shared" ref="I62:K62" si="19">(I61-12.5)/12.5</f>
        <v>0.5089285714285714</v>
      </c>
      <c r="J62" s="68"/>
      <c r="K62" s="68">
        <f t="shared" si="19"/>
        <v>1</v>
      </c>
      <c r="L62" s="18"/>
    </row>
    <row r="63" spans="2:12" x14ac:dyDescent="0.25">
      <c r="G63" s="18"/>
      <c r="H63" s="18"/>
      <c r="I63" s="18"/>
      <c r="J63" s="18"/>
      <c r="K63" s="18"/>
      <c r="L63" s="18"/>
    </row>
    <row r="64" spans="2:12" x14ac:dyDescent="0.25">
      <c r="G64" s="18"/>
      <c r="H64" s="18"/>
      <c r="I64" s="18"/>
      <c r="J64" s="18"/>
      <c r="K64" s="18"/>
      <c r="L64" s="18"/>
    </row>
    <row r="65" spans="7:12" x14ac:dyDescent="0.25">
      <c r="G65" s="18"/>
      <c r="H65" s="18"/>
      <c r="I65" s="18"/>
      <c r="J65" s="18"/>
      <c r="K65" s="18"/>
      <c r="L65" s="18"/>
    </row>
    <row r="66" spans="7:12" x14ac:dyDescent="0.25">
      <c r="G66" s="18"/>
      <c r="H66" s="18"/>
      <c r="I66" s="18"/>
      <c r="J66" s="18"/>
      <c r="K66" s="18"/>
      <c r="L66" s="18"/>
    </row>
    <row r="67" spans="7:12" x14ac:dyDescent="0.25">
      <c r="G67" s="18"/>
      <c r="H67" s="18"/>
      <c r="I67" s="18"/>
      <c r="J67" s="18"/>
      <c r="K67" s="18"/>
      <c r="L67" s="18"/>
    </row>
    <row r="68" spans="7:12" x14ac:dyDescent="0.25">
      <c r="G68" s="18"/>
      <c r="H68" s="18"/>
      <c r="I68" s="18"/>
      <c r="J68" s="18"/>
      <c r="K68" s="18"/>
      <c r="L68" s="18"/>
    </row>
    <row r="69" spans="7:12" x14ac:dyDescent="0.25">
      <c r="G69" s="18"/>
      <c r="H69" s="18"/>
      <c r="I69" s="18"/>
      <c r="J69" s="18"/>
      <c r="K69" s="18"/>
      <c r="L69" s="18"/>
    </row>
    <row r="70" spans="7:12" x14ac:dyDescent="0.25">
      <c r="G70" s="18"/>
      <c r="H70" s="18"/>
      <c r="I70" s="18"/>
      <c r="J70" s="18"/>
      <c r="K70" s="18"/>
      <c r="L70" s="18"/>
    </row>
    <row r="71" spans="7:12" x14ac:dyDescent="0.25">
      <c r="G71" s="18"/>
      <c r="H71" s="18"/>
      <c r="I71" s="18"/>
      <c r="J71" s="18"/>
      <c r="K71" s="18"/>
      <c r="L71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A9C5F-0D03-43C4-9A25-F5B3AEB3F55A}">
  <dimension ref="B2:R157"/>
  <sheetViews>
    <sheetView showGridLines="0" topLeftCell="A69" workbookViewId="0">
      <selection activeCell="O45" sqref="O45"/>
    </sheetView>
  </sheetViews>
  <sheetFormatPr defaultColWidth="9.140625" defaultRowHeight="15.75" x14ac:dyDescent="0.25"/>
  <cols>
    <col min="1" max="6" width="9.140625" style="4"/>
    <col min="7" max="7" width="12.85546875" style="4" hidden="1" customWidth="1"/>
    <col min="8" max="13" width="12.85546875" style="4" customWidth="1"/>
    <col min="14" max="16384" width="9.140625" style="4"/>
  </cols>
  <sheetData>
    <row r="2" spans="2:14" ht="26.25" x14ac:dyDescent="0.4">
      <c r="B2" s="1" t="s">
        <v>32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4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2:14" ht="16.5" thickBot="1" x14ac:dyDescent="0.3">
      <c r="B4" s="12" t="s">
        <v>6</v>
      </c>
      <c r="G4" s="50">
        <v>2021</v>
      </c>
      <c r="H4" s="50">
        <v>2022</v>
      </c>
      <c r="I4" s="50">
        <v>2023</v>
      </c>
      <c r="J4" s="50">
        <f t="shared" ref="J4:K4" si="0">I4+1</f>
        <v>2024</v>
      </c>
      <c r="K4" s="50">
        <f t="shared" si="0"/>
        <v>2025</v>
      </c>
      <c r="L4" s="50" t="s">
        <v>165</v>
      </c>
      <c r="M4" s="50" t="s">
        <v>166</v>
      </c>
    </row>
    <row r="6" spans="2:14" x14ac:dyDescent="0.25">
      <c r="B6" s="4" t="s">
        <v>33</v>
      </c>
      <c r="G6" s="20" t="s">
        <v>44</v>
      </c>
      <c r="H6" s="9">
        <v>40955</v>
      </c>
      <c r="I6" s="9">
        <v>36538</v>
      </c>
      <c r="J6" s="9">
        <v>50340</v>
      </c>
      <c r="K6" s="9">
        <v>402209</v>
      </c>
      <c r="L6" s="9">
        <v>278597</v>
      </c>
      <c r="M6" s="9">
        <v>167274</v>
      </c>
    </row>
    <row r="7" spans="2:14" x14ac:dyDescent="0.25">
      <c r="B7" s="4" t="s">
        <v>75</v>
      </c>
      <c r="G7" s="20" t="s">
        <v>44</v>
      </c>
      <c r="H7" s="9">
        <v>18000</v>
      </c>
      <c r="I7" s="9">
        <v>78000</v>
      </c>
      <c r="J7" s="9">
        <v>48000</v>
      </c>
      <c r="K7" s="9">
        <v>0</v>
      </c>
      <c r="L7" s="9"/>
      <c r="M7" s="9"/>
      <c r="N7" s="24" t="s">
        <v>48</v>
      </c>
    </row>
    <row r="8" spans="2:14" x14ac:dyDescent="0.25">
      <c r="B8" s="4" t="s">
        <v>76</v>
      </c>
      <c r="D8" s="24"/>
      <c r="E8" s="24"/>
      <c r="G8" s="20" t="s">
        <v>44</v>
      </c>
      <c r="H8" s="9">
        <v>0</v>
      </c>
      <c r="I8" s="9">
        <v>1108</v>
      </c>
      <c r="J8" s="9">
        <v>1880</v>
      </c>
      <c r="K8" s="9">
        <v>11170</v>
      </c>
      <c r="L8" s="9">
        <v>17113</v>
      </c>
      <c r="M8" s="9">
        <v>25880</v>
      </c>
    </row>
    <row r="9" spans="2:14" x14ac:dyDescent="0.25">
      <c r="B9" s="4" t="s">
        <v>34</v>
      </c>
      <c r="G9" s="20" t="s">
        <v>44</v>
      </c>
      <c r="H9" s="9">
        <v>7576</v>
      </c>
      <c r="I9" s="9">
        <v>9916</v>
      </c>
      <c r="J9" s="9">
        <v>9188</v>
      </c>
      <c r="K9" s="9">
        <v>16902</v>
      </c>
      <c r="L9" s="9">
        <v>23313</v>
      </c>
      <c r="M9" s="9">
        <v>12129</v>
      </c>
    </row>
    <row r="10" spans="2:14" x14ac:dyDescent="0.25">
      <c r="B10" s="4" t="s">
        <v>35</v>
      </c>
      <c r="G10" s="20" t="s">
        <v>44</v>
      </c>
      <c r="H10" s="9">
        <v>70230</v>
      </c>
      <c r="I10" s="9">
        <v>84106</v>
      </c>
      <c r="J10" s="9">
        <v>99810</v>
      </c>
      <c r="K10" s="9">
        <v>135181</v>
      </c>
      <c r="L10" s="9">
        <v>147976</v>
      </c>
      <c r="M10" s="9">
        <v>152170</v>
      </c>
    </row>
    <row r="11" spans="2:14" ht="16.5" thickBot="1" x14ac:dyDescent="0.3">
      <c r="B11" s="4" t="s">
        <v>36</v>
      </c>
      <c r="G11" s="21" t="s">
        <v>44</v>
      </c>
      <c r="H11" s="6">
        <v>9172</v>
      </c>
      <c r="I11" s="6">
        <v>14144</v>
      </c>
      <c r="J11" s="6">
        <v>14151</v>
      </c>
      <c r="K11" s="6">
        <v>36336</v>
      </c>
      <c r="L11" s="6">
        <v>33089</v>
      </c>
      <c r="M11" s="6">
        <v>33218</v>
      </c>
    </row>
    <row r="12" spans="2:14" x14ac:dyDescent="0.25">
      <c r="B12" s="7" t="s">
        <v>37</v>
      </c>
      <c r="G12" s="22" t="s">
        <v>44</v>
      </c>
      <c r="H12" s="10">
        <f>SUM(H6:H11)</f>
        <v>145933</v>
      </c>
      <c r="I12" s="10">
        <f t="shared" ref="I12:L12" si="1">SUM(I6:I11)</f>
        <v>223812</v>
      </c>
      <c r="J12" s="10">
        <f t="shared" si="1"/>
        <v>223369</v>
      </c>
      <c r="K12" s="10">
        <f t="shared" si="1"/>
        <v>601798</v>
      </c>
      <c r="L12" s="10">
        <f t="shared" si="1"/>
        <v>500088</v>
      </c>
      <c r="M12" s="10">
        <f t="shared" ref="M12" si="2">SUM(M6:M11)</f>
        <v>390671</v>
      </c>
    </row>
    <row r="13" spans="2:14" x14ac:dyDescent="0.25">
      <c r="G13" s="23"/>
    </row>
    <row r="14" spans="2:14" x14ac:dyDescent="0.25">
      <c r="B14" s="4" t="s">
        <v>76</v>
      </c>
      <c r="G14" s="20" t="s">
        <v>44</v>
      </c>
      <c r="H14" s="9">
        <v>0</v>
      </c>
      <c r="I14" s="9">
        <v>50507</v>
      </c>
      <c r="J14" s="9">
        <v>68831</v>
      </c>
      <c r="K14" s="9">
        <v>362571</v>
      </c>
      <c r="L14" s="9">
        <v>371626</v>
      </c>
      <c r="M14" s="9">
        <v>368008</v>
      </c>
    </row>
    <row r="15" spans="2:14" x14ac:dyDescent="0.25">
      <c r="B15" s="4" t="s">
        <v>38</v>
      </c>
      <c r="G15" s="20" t="s">
        <v>44</v>
      </c>
      <c r="H15" s="9">
        <v>9468</v>
      </c>
      <c r="I15" s="9">
        <v>9245</v>
      </c>
      <c r="J15" s="9">
        <v>9817</v>
      </c>
      <c r="K15" s="9">
        <v>10864</v>
      </c>
      <c r="L15" s="9">
        <v>9986</v>
      </c>
      <c r="M15" s="9">
        <v>10044</v>
      </c>
    </row>
    <row r="16" spans="2:14" x14ac:dyDescent="0.25">
      <c r="B16" s="4" t="s">
        <v>39</v>
      </c>
      <c r="G16" s="20" t="s">
        <v>44</v>
      </c>
      <c r="H16" s="9">
        <v>26800</v>
      </c>
      <c r="I16" s="9">
        <v>36001</v>
      </c>
      <c r="J16" s="9">
        <v>36458</v>
      </c>
      <c r="K16" s="9">
        <v>43582</v>
      </c>
      <c r="L16" s="9">
        <v>46141</v>
      </c>
      <c r="M16" s="9">
        <v>48462</v>
      </c>
    </row>
    <row r="17" spans="2:13" x14ac:dyDescent="0.25">
      <c r="B17" s="4" t="s">
        <v>40</v>
      </c>
      <c r="G17" s="20" t="s">
        <v>44</v>
      </c>
      <c r="H17" s="9">
        <v>16237</v>
      </c>
      <c r="I17" s="9">
        <v>64904</v>
      </c>
      <c r="J17" s="9">
        <v>64904</v>
      </c>
      <c r="K17" s="9">
        <v>64904</v>
      </c>
      <c r="L17" s="9">
        <v>64904</v>
      </c>
      <c r="M17" s="9">
        <v>64904</v>
      </c>
    </row>
    <row r="18" spans="2:13" x14ac:dyDescent="0.25">
      <c r="B18" s="4" t="s">
        <v>41</v>
      </c>
      <c r="G18" s="20" t="s">
        <v>44</v>
      </c>
      <c r="H18" s="9">
        <v>2334</v>
      </c>
      <c r="I18" s="9">
        <v>3924</v>
      </c>
      <c r="J18" s="9">
        <v>8786</v>
      </c>
      <c r="K18" s="9">
        <v>27693</v>
      </c>
      <c r="L18" s="9">
        <v>30299</v>
      </c>
      <c r="M18" s="9">
        <v>28811</v>
      </c>
    </row>
    <row r="19" spans="2:13" ht="16.5" thickBot="1" x14ac:dyDescent="0.3">
      <c r="B19" s="4" t="s">
        <v>42</v>
      </c>
      <c r="G19" s="21" t="s">
        <v>44</v>
      </c>
      <c r="H19" s="6">
        <v>15636</v>
      </c>
      <c r="I19" s="6">
        <v>16513</v>
      </c>
      <c r="J19" s="6">
        <v>26717</v>
      </c>
      <c r="K19" s="6">
        <v>26380</v>
      </c>
      <c r="L19" s="6">
        <f>22701+4082</f>
        <v>26783</v>
      </c>
      <c r="M19" s="6">
        <f>19918+4305</f>
        <v>24223</v>
      </c>
    </row>
    <row r="20" spans="2:13" x14ac:dyDescent="0.25">
      <c r="B20" s="7" t="s">
        <v>43</v>
      </c>
      <c r="G20" s="22" t="s">
        <v>44</v>
      </c>
      <c r="H20" s="10">
        <f>SUM(H12:H19)</f>
        <v>216408</v>
      </c>
      <c r="I20" s="10">
        <f t="shared" ref="I20:L20" si="3">SUM(I12:I19)</f>
        <v>404906</v>
      </c>
      <c r="J20" s="10">
        <f t="shared" si="3"/>
        <v>438882</v>
      </c>
      <c r="K20" s="10">
        <f t="shared" si="3"/>
        <v>1137792</v>
      </c>
      <c r="L20" s="10">
        <f t="shared" si="3"/>
        <v>1049827</v>
      </c>
      <c r="M20" s="10">
        <f t="shared" ref="M20" si="4">SUM(M12:M19)</f>
        <v>935123</v>
      </c>
    </row>
    <row r="22" spans="2:13" x14ac:dyDescent="0.25">
      <c r="B22" s="4" t="s">
        <v>45</v>
      </c>
      <c r="G22" s="20" t="s">
        <v>44</v>
      </c>
      <c r="H22" s="9">
        <v>44807</v>
      </c>
      <c r="I22" s="9">
        <v>56185</v>
      </c>
      <c r="J22" s="9">
        <v>79130</v>
      </c>
      <c r="K22" s="9">
        <v>75957</v>
      </c>
      <c r="L22" s="9">
        <v>65252</v>
      </c>
      <c r="M22" s="9">
        <v>63076</v>
      </c>
    </row>
    <row r="23" spans="2:13" x14ac:dyDescent="0.25">
      <c r="B23" s="4" t="s">
        <v>46</v>
      </c>
      <c r="G23" s="20" t="s">
        <v>44</v>
      </c>
      <c r="H23" s="9">
        <v>37792</v>
      </c>
      <c r="I23" s="9">
        <v>49325</v>
      </c>
      <c r="J23" s="9">
        <v>38566</v>
      </c>
      <c r="K23" s="9">
        <v>32869</v>
      </c>
      <c r="L23" s="9">
        <v>51374</v>
      </c>
      <c r="M23" s="9">
        <v>44347</v>
      </c>
    </row>
    <row r="24" spans="2:13" x14ac:dyDescent="0.25">
      <c r="B24" s="4" t="s">
        <v>47</v>
      </c>
      <c r="G24" s="20" t="s">
        <v>44</v>
      </c>
      <c r="H24" s="9">
        <v>4565</v>
      </c>
      <c r="I24" s="9">
        <v>0</v>
      </c>
      <c r="J24" s="9">
        <v>0</v>
      </c>
      <c r="K24" s="9">
        <v>584368</v>
      </c>
      <c r="L24" s="9">
        <v>585222</v>
      </c>
      <c r="M24" s="9">
        <v>537246</v>
      </c>
    </row>
    <row r="25" spans="2:13" x14ac:dyDescent="0.25">
      <c r="B25" s="4" t="s">
        <v>49</v>
      </c>
      <c r="G25" s="20" t="s">
        <v>44</v>
      </c>
      <c r="H25" s="9">
        <v>11966</v>
      </c>
      <c r="I25" s="9">
        <v>12514</v>
      </c>
      <c r="J25" s="9">
        <v>22710</v>
      </c>
      <c r="K25" s="9">
        <v>23465</v>
      </c>
      <c r="L25" s="9">
        <f>6537+17260</f>
        <v>23797</v>
      </c>
      <c r="M25" s="9">
        <f>5764+16231</f>
        <v>21995</v>
      </c>
    </row>
    <row r="26" spans="2:13" ht="16.5" thickBot="1" x14ac:dyDescent="0.3">
      <c r="B26" s="4" t="s">
        <v>50</v>
      </c>
      <c r="G26" s="21" t="s">
        <v>44</v>
      </c>
      <c r="H26" s="6">
        <v>6298</v>
      </c>
      <c r="I26" s="6">
        <v>3775</v>
      </c>
      <c r="J26" s="6">
        <v>16172</v>
      </c>
      <c r="K26" s="6">
        <v>24638</v>
      </c>
      <c r="L26" s="6">
        <v>25272</v>
      </c>
      <c r="M26" s="6">
        <v>25187</v>
      </c>
    </row>
    <row r="27" spans="2:13" x14ac:dyDescent="0.25">
      <c r="B27" s="7" t="s">
        <v>51</v>
      </c>
      <c r="G27" s="22" t="s">
        <v>44</v>
      </c>
      <c r="H27" s="10">
        <f>SUM(H22:H26)</f>
        <v>105428</v>
      </c>
      <c r="I27" s="10">
        <f t="shared" ref="I27:L27" si="5">SUM(I22:I26)</f>
        <v>121799</v>
      </c>
      <c r="J27" s="10">
        <f t="shared" si="5"/>
        <v>156578</v>
      </c>
      <c r="K27" s="10">
        <f t="shared" si="5"/>
        <v>741297</v>
      </c>
      <c r="L27" s="10">
        <f t="shared" si="5"/>
        <v>750917</v>
      </c>
      <c r="M27" s="10">
        <f t="shared" ref="M27" si="6">SUM(M22:M26)</f>
        <v>691851</v>
      </c>
    </row>
    <row r="29" spans="2:13" x14ac:dyDescent="0.25">
      <c r="B29" s="4" t="s">
        <v>52</v>
      </c>
      <c r="G29" s="20" t="s">
        <v>44</v>
      </c>
      <c r="H29" s="9">
        <v>53707</v>
      </c>
      <c r="I29" s="9">
        <v>178910</v>
      </c>
      <c r="J29" s="9">
        <v>76912</v>
      </c>
      <c r="K29" s="9">
        <v>77571</v>
      </c>
      <c r="L29" s="9">
        <v>4230</v>
      </c>
      <c r="M29" s="9">
        <v>-65340</v>
      </c>
    </row>
    <row r="30" spans="2:13" x14ac:dyDescent="0.25">
      <c r="B30" s="4" t="s">
        <v>53</v>
      </c>
      <c r="G30" s="20" t="s">
        <v>44</v>
      </c>
      <c r="H30" s="9">
        <v>43244</v>
      </c>
      <c r="I30" s="9">
        <v>101778</v>
      </c>
      <c r="J30" s="9">
        <v>203269</v>
      </c>
      <c r="K30" s="9">
        <v>314014</v>
      </c>
      <c r="L30" s="9">
        <v>292653</v>
      </c>
      <c r="M30" s="9">
        <v>305543</v>
      </c>
    </row>
    <row r="31" spans="2:13" ht="16.5" thickBot="1" x14ac:dyDescent="0.3">
      <c r="B31" s="4" t="s">
        <v>54</v>
      </c>
      <c r="G31" s="21" t="s">
        <v>44</v>
      </c>
      <c r="H31" s="6">
        <v>1738</v>
      </c>
      <c r="I31" s="6">
        <v>2402</v>
      </c>
      <c r="J31" s="6">
        <v>2106</v>
      </c>
      <c r="K31" s="6">
        <v>4892</v>
      </c>
      <c r="L31" s="6">
        <v>2011</v>
      </c>
      <c r="M31" s="6">
        <v>3055</v>
      </c>
    </row>
    <row r="32" spans="2:13" x14ac:dyDescent="0.25">
      <c r="B32" s="7" t="s">
        <v>55</v>
      </c>
      <c r="G32" s="20" t="s">
        <v>44</v>
      </c>
      <c r="H32" s="9">
        <v>98705</v>
      </c>
      <c r="I32" s="9">
        <v>283107</v>
      </c>
      <c r="J32" s="9">
        <v>282304</v>
      </c>
      <c r="K32" s="9">
        <v>396495</v>
      </c>
      <c r="L32" s="74">
        <v>298910</v>
      </c>
      <c r="M32" s="74">
        <v>243272</v>
      </c>
    </row>
    <row r="33" spans="2:15" ht="16.5" thickBot="1" x14ac:dyDescent="0.3">
      <c r="G33" s="21"/>
      <c r="H33" s="6"/>
      <c r="I33" s="6"/>
      <c r="J33" s="6"/>
      <c r="K33" s="6"/>
      <c r="L33" s="6"/>
      <c r="M33" s="6"/>
    </row>
    <row r="34" spans="2:15" x14ac:dyDescent="0.25">
      <c r="B34" s="7" t="s">
        <v>56</v>
      </c>
      <c r="G34" s="22" t="s">
        <v>44</v>
      </c>
      <c r="H34" s="10">
        <f>H27+H32</f>
        <v>204133</v>
      </c>
      <c r="I34" s="10">
        <f t="shared" ref="I34:L34" si="7">I27+I32</f>
        <v>404906</v>
      </c>
      <c r="J34" s="10">
        <f t="shared" si="7"/>
        <v>438882</v>
      </c>
      <c r="K34" s="10">
        <f t="shared" si="7"/>
        <v>1137792</v>
      </c>
      <c r="L34" s="10">
        <f t="shared" si="7"/>
        <v>1049827</v>
      </c>
      <c r="M34" s="10">
        <f t="shared" ref="M34" si="8">M27+M32</f>
        <v>935123</v>
      </c>
    </row>
    <row r="35" spans="2:15" x14ac:dyDescent="0.25">
      <c r="B35"/>
      <c r="C35"/>
      <c r="D35"/>
      <c r="E35"/>
      <c r="F35"/>
      <c r="G35"/>
      <c r="H35"/>
      <c r="I35"/>
      <c r="J35"/>
      <c r="K35"/>
      <c r="L35"/>
      <c r="M35"/>
    </row>
    <row r="36" spans="2:15" x14ac:dyDescent="0.25">
      <c r="B36"/>
      <c r="C36"/>
      <c r="D36"/>
      <c r="E36"/>
      <c r="F36"/>
      <c r="G36"/>
      <c r="H36"/>
      <c r="I36"/>
      <c r="J36"/>
      <c r="K36"/>
      <c r="L36"/>
      <c r="M36"/>
    </row>
    <row r="37" spans="2:15" ht="26.25" x14ac:dyDescent="0.4">
      <c r="B37" s="1" t="s">
        <v>71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2:15" x14ac:dyDescent="0.25">
      <c r="B38"/>
      <c r="C38"/>
      <c r="D38"/>
      <c r="E38"/>
      <c r="F38"/>
      <c r="G38"/>
      <c r="H38" s="3"/>
      <c r="I38" s="3"/>
      <c r="J38" s="3"/>
      <c r="K38" s="3"/>
      <c r="L38" s="3"/>
      <c r="M38" s="3"/>
    </row>
    <row r="39" spans="2:15" ht="16.5" thickBot="1" x14ac:dyDescent="0.3">
      <c r="B39"/>
      <c r="C39"/>
      <c r="D39"/>
      <c r="E39"/>
      <c r="F39"/>
      <c r="G39" s="5">
        <v>2021</v>
      </c>
      <c r="H39" s="50">
        <v>2022</v>
      </c>
      <c r="I39" s="50">
        <v>2023</v>
      </c>
      <c r="J39" s="50">
        <f t="shared" ref="J39" si="9">I39+1</f>
        <v>2024</v>
      </c>
      <c r="K39" s="50">
        <f t="shared" ref="K39" si="10">J39+1</f>
        <v>2025</v>
      </c>
      <c r="L39" s="50" t="s">
        <v>165</v>
      </c>
      <c r="M39" s="50" t="s">
        <v>166</v>
      </c>
    </row>
    <row r="41" spans="2:15" x14ac:dyDescent="0.25">
      <c r="B41" s="4" t="s">
        <v>70</v>
      </c>
      <c r="G41" s="29" t="s">
        <v>44</v>
      </c>
      <c r="H41" s="30">
        <f>H6</f>
        <v>40955</v>
      </c>
      <c r="I41" s="30">
        <f t="shared" ref="I41:K41" si="11">I6</f>
        <v>36538</v>
      </c>
      <c r="J41" s="30">
        <f t="shared" si="11"/>
        <v>50340</v>
      </c>
      <c r="K41" s="30">
        <f t="shared" si="11"/>
        <v>402209</v>
      </c>
      <c r="L41" s="30">
        <f t="shared" ref="L41:M41" si="12">L6</f>
        <v>278597</v>
      </c>
      <c r="M41" s="30">
        <f t="shared" si="12"/>
        <v>167274</v>
      </c>
    </row>
    <row r="42" spans="2:15" x14ac:dyDescent="0.25">
      <c r="B42" s="4" t="s">
        <v>75</v>
      </c>
      <c r="G42" s="29" t="s">
        <v>44</v>
      </c>
      <c r="H42" s="30">
        <f t="shared" ref="H42:K43" si="13">H7</f>
        <v>18000</v>
      </c>
      <c r="I42" s="30">
        <f t="shared" si="13"/>
        <v>78000</v>
      </c>
      <c r="J42" s="30">
        <f t="shared" si="13"/>
        <v>48000</v>
      </c>
      <c r="K42" s="30">
        <f t="shared" si="13"/>
        <v>0</v>
      </c>
      <c r="L42" s="30">
        <f t="shared" ref="L42:M42" si="14">L7</f>
        <v>0</v>
      </c>
      <c r="M42" s="30">
        <f t="shared" si="14"/>
        <v>0</v>
      </c>
    </row>
    <row r="43" spans="2:15" x14ac:dyDescent="0.25">
      <c r="B43" s="4" t="s">
        <v>80</v>
      </c>
      <c r="G43" s="29" t="str">
        <f>G6</f>
        <v>X</v>
      </c>
      <c r="H43" s="30">
        <f t="shared" si="13"/>
        <v>0</v>
      </c>
      <c r="I43" s="30">
        <f t="shared" si="13"/>
        <v>1108</v>
      </c>
      <c r="J43" s="30">
        <f t="shared" si="13"/>
        <v>1880</v>
      </c>
      <c r="K43" s="30">
        <f t="shared" si="13"/>
        <v>11170</v>
      </c>
      <c r="L43" s="30">
        <f t="shared" ref="L43:M43" si="15">L8</f>
        <v>17113</v>
      </c>
      <c r="M43" s="30">
        <f t="shared" si="15"/>
        <v>25880</v>
      </c>
    </row>
    <row r="44" spans="2:15" ht="16.5" thickBot="1" x14ac:dyDescent="0.3">
      <c r="B44" s="4" t="s">
        <v>79</v>
      </c>
      <c r="G44" s="43" t="str">
        <f>G7</f>
        <v>X</v>
      </c>
      <c r="H44" s="44">
        <f>H14</f>
        <v>0</v>
      </c>
      <c r="I44" s="44">
        <f t="shared" ref="I44:K44" si="16">I14</f>
        <v>50507</v>
      </c>
      <c r="J44" s="44">
        <f t="shared" si="16"/>
        <v>68831</v>
      </c>
      <c r="K44" s="44">
        <f t="shared" si="16"/>
        <v>362571</v>
      </c>
      <c r="L44" s="44">
        <f t="shared" ref="L44:M44" si="17">L14</f>
        <v>371626</v>
      </c>
      <c r="M44" s="44">
        <f t="shared" si="17"/>
        <v>368008</v>
      </c>
    </row>
    <row r="45" spans="2:15" x14ac:dyDescent="0.25">
      <c r="B45" s="7" t="s">
        <v>72</v>
      </c>
      <c r="G45" s="22" t="s">
        <v>44</v>
      </c>
      <c r="H45" s="10">
        <f>SUM(H41:H44)</f>
        <v>58955</v>
      </c>
      <c r="I45" s="10">
        <f t="shared" ref="I45:L45" si="18">SUM(I41:I44)</f>
        <v>166153</v>
      </c>
      <c r="J45" s="10">
        <f t="shared" si="18"/>
        <v>169051</v>
      </c>
      <c r="K45" s="10">
        <f t="shared" si="18"/>
        <v>775950</v>
      </c>
      <c r="L45" s="10">
        <f t="shared" si="18"/>
        <v>667336</v>
      </c>
      <c r="M45" s="10">
        <f t="shared" ref="M45" si="19">SUM(M41:M44)</f>
        <v>561162</v>
      </c>
      <c r="O45" s="18">
        <f>L45-M45</f>
        <v>106174</v>
      </c>
    </row>
    <row r="47" spans="2:15" x14ac:dyDescent="0.25">
      <c r="B47" s="4" t="s">
        <v>73</v>
      </c>
      <c r="G47" s="29" t="s">
        <v>44</v>
      </c>
      <c r="H47" s="30">
        <f>H12</f>
        <v>145933</v>
      </c>
      <c r="I47" s="30">
        <f t="shared" ref="I47:K47" si="20">I12</f>
        <v>223812</v>
      </c>
      <c r="J47" s="30">
        <f t="shared" si="20"/>
        <v>223369</v>
      </c>
      <c r="K47" s="30">
        <f t="shared" si="20"/>
        <v>601798</v>
      </c>
      <c r="L47" s="30">
        <f t="shared" ref="L47:M47" si="21">L12</f>
        <v>500088</v>
      </c>
      <c r="M47" s="30">
        <f t="shared" si="21"/>
        <v>390671</v>
      </c>
    </row>
    <row r="48" spans="2:15" ht="16.5" thickBot="1" x14ac:dyDescent="0.3">
      <c r="B48" s="4" t="s">
        <v>74</v>
      </c>
      <c r="G48" s="21" t="s">
        <v>44</v>
      </c>
      <c r="H48" s="6">
        <v>90406</v>
      </c>
      <c r="I48" s="6">
        <v>109312</v>
      </c>
      <c r="J48" s="6">
        <v>124802</v>
      </c>
      <c r="K48" s="6">
        <v>114828</v>
      </c>
      <c r="L48" s="6">
        <v>123163</v>
      </c>
      <c r="M48" s="6">
        <v>113187</v>
      </c>
    </row>
    <row r="49" spans="2:14" x14ac:dyDescent="0.25">
      <c r="B49" s="7" t="s">
        <v>77</v>
      </c>
      <c r="G49" s="35" t="s">
        <v>44</v>
      </c>
      <c r="H49" s="36">
        <f>H47/H48</f>
        <v>1.6141959604451033</v>
      </c>
      <c r="I49" s="36">
        <f t="shared" ref="I49:L49" si="22">I47/I48</f>
        <v>2.0474604800936769</v>
      </c>
      <c r="J49" s="36">
        <f t="shared" si="22"/>
        <v>1.7897870226438679</v>
      </c>
      <c r="K49" s="36">
        <f t="shared" si="22"/>
        <v>5.2408645974849337</v>
      </c>
      <c r="L49" s="36">
        <f t="shared" si="22"/>
        <v>4.0603752750420172</v>
      </c>
      <c r="M49" s="36">
        <f t="shared" ref="M49" si="23">M47/M48</f>
        <v>3.4515536236493589</v>
      </c>
    </row>
    <row r="51" spans="2:14" x14ac:dyDescent="0.25">
      <c r="B51" s="4" t="s">
        <v>78</v>
      </c>
      <c r="G51" s="20" t="s">
        <v>44</v>
      </c>
      <c r="H51" s="30">
        <f>H24-H6</f>
        <v>-36390</v>
      </c>
      <c r="I51" s="30">
        <f t="shared" ref="I51:K51" si="24">I24-I6</f>
        <v>-36538</v>
      </c>
      <c r="J51" s="30">
        <f t="shared" si="24"/>
        <v>-50340</v>
      </c>
      <c r="K51" s="30">
        <f t="shared" si="24"/>
        <v>182159</v>
      </c>
      <c r="L51" s="30">
        <f t="shared" ref="L51:M51" si="25">L24-L6</f>
        <v>306625</v>
      </c>
      <c r="M51" s="30">
        <f t="shared" si="25"/>
        <v>369972</v>
      </c>
    </row>
    <row r="52" spans="2:14" x14ac:dyDescent="0.25">
      <c r="B52" s="4" t="s">
        <v>99</v>
      </c>
      <c r="G52" s="20" t="s">
        <v>44</v>
      </c>
      <c r="H52" s="30">
        <f>H24-H45</f>
        <v>-54390</v>
      </c>
      <c r="I52" s="30">
        <f t="shared" ref="I52:K52" si="26">I24-I45</f>
        <v>-166153</v>
      </c>
      <c r="J52" s="30">
        <f t="shared" si="26"/>
        <v>-169051</v>
      </c>
      <c r="K52" s="30">
        <f t="shared" si="26"/>
        <v>-191582</v>
      </c>
      <c r="L52" s="30">
        <f t="shared" ref="L52:M52" si="27">L24-L45</f>
        <v>-82114</v>
      </c>
      <c r="M52" s="30">
        <f t="shared" si="27"/>
        <v>-23916</v>
      </c>
    </row>
    <row r="55" spans="2:14" ht="26.25" x14ac:dyDescent="0.4">
      <c r="B55" s="1" t="s">
        <v>81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2:14" x14ac:dyDescent="0.25">
      <c r="H56" s="3"/>
      <c r="I56" s="3"/>
      <c r="J56" s="3"/>
      <c r="K56" s="3"/>
      <c r="L56" s="3"/>
      <c r="M56" s="3"/>
    </row>
    <row r="57" spans="2:14" ht="16.5" thickBot="1" x14ac:dyDescent="0.3">
      <c r="G57" s="5">
        <v>2021</v>
      </c>
      <c r="H57" s="50">
        <v>2022</v>
      </c>
      <c r="I57" s="50">
        <v>2023</v>
      </c>
      <c r="J57" s="50">
        <f t="shared" ref="J57" si="28">I57+1</f>
        <v>2024</v>
      </c>
      <c r="K57" s="50">
        <f t="shared" ref="K57" si="29">J57+1</f>
        <v>2025</v>
      </c>
      <c r="L57" s="50" t="s">
        <v>165</v>
      </c>
      <c r="M57" s="50" t="s">
        <v>166</v>
      </c>
    </row>
    <row r="59" spans="2:14" x14ac:dyDescent="0.25">
      <c r="B59" s="4" t="s">
        <v>82</v>
      </c>
      <c r="G59" s="29" t="str">
        <f>G24</f>
        <v>X</v>
      </c>
      <c r="H59" s="30">
        <f t="shared" ref="H59:K59" si="30">H24</f>
        <v>4565</v>
      </c>
      <c r="I59" s="30">
        <f t="shared" si="30"/>
        <v>0</v>
      </c>
      <c r="J59" s="30">
        <f t="shared" si="30"/>
        <v>0</v>
      </c>
      <c r="K59" s="30">
        <f t="shared" si="30"/>
        <v>584368</v>
      </c>
      <c r="L59" s="30">
        <f t="shared" ref="L59:M59" si="31">L24</f>
        <v>585222</v>
      </c>
      <c r="M59" s="30">
        <f t="shared" si="31"/>
        <v>537246</v>
      </c>
    </row>
    <row r="60" spans="2:14" x14ac:dyDescent="0.25">
      <c r="B60" s="4" t="s">
        <v>10</v>
      </c>
      <c r="G60" s="29" t="s">
        <v>44</v>
      </c>
      <c r="H60" s="30">
        <f>'Historical Financials'!H19</f>
        <v>32073</v>
      </c>
      <c r="I60" s="30">
        <f>'Historical Financials'!I19</f>
        <v>82923</v>
      </c>
      <c r="J60" s="30">
        <f>'Historical Financials'!J19</f>
        <v>125427</v>
      </c>
      <c r="K60" s="30">
        <f>'Historical Financials'!K19</f>
        <v>129457</v>
      </c>
      <c r="L60" s="30">
        <f>'Historical Financials'!L19</f>
        <v>-21221</v>
      </c>
      <c r="M60" s="30">
        <f>'Historical Financials'!M19</f>
        <v>1972</v>
      </c>
    </row>
    <row r="61" spans="2:14" x14ac:dyDescent="0.25">
      <c r="B61" s="4" t="s">
        <v>83</v>
      </c>
      <c r="F61" s="7"/>
      <c r="G61" s="39" t="s">
        <v>44</v>
      </c>
      <c r="H61" s="40">
        <f t="shared" ref="H61:L61" si="32">H59/H60</f>
        <v>0.14233155613756118</v>
      </c>
      <c r="I61" s="40">
        <f t="shared" si="32"/>
        <v>0</v>
      </c>
      <c r="J61" s="40">
        <f t="shared" si="32"/>
        <v>0</v>
      </c>
      <c r="K61" s="40">
        <f t="shared" si="32"/>
        <v>4.5139930633337713</v>
      </c>
      <c r="L61" s="40">
        <f t="shared" si="32"/>
        <v>-27.577493991800576</v>
      </c>
      <c r="M61" s="40">
        <f t="shared" ref="M61" si="33">M59/M60</f>
        <v>272.43711967545642</v>
      </c>
      <c r="N61" s="24" t="s">
        <v>84</v>
      </c>
    </row>
    <row r="62" spans="2:14" x14ac:dyDescent="0.25">
      <c r="F62" s="7"/>
      <c r="G62" s="37"/>
      <c r="H62" s="38"/>
      <c r="I62" s="38"/>
      <c r="J62" s="38"/>
      <c r="K62" s="38"/>
      <c r="L62" s="38"/>
      <c r="M62" s="38"/>
      <c r="N62" s="24"/>
    </row>
    <row r="63" spans="2:14" x14ac:dyDescent="0.25">
      <c r="B63" s="4" t="s">
        <v>78</v>
      </c>
      <c r="G63" s="29" t="str">
        <f>G51</f>
        <v>X</v>
      </c>
      <c r="H63" s="30">
        <f t="shared" ref="H63:K63" si="34">H51</f>
        <v>-36390</v>
      </c>
      <c r="I63" s="30">
        <f t="shared" si="34"/>
        <v>-36538</v>
      </c>
      <c r="J63" s="30">
        <f t="shared" si="34"/>
        <v>-50340</v>
      </c>
      <c r="K63" s="30">
        <f t="shared" si="34"/>
        <v>182159</v>
      </c>
      <c r="L63" s="30">
        <f t="shared" ref="L63:M63" si="35">L51</f>
        <v>306625</v>
      </c>
      <c r="M63" s="30">
        <f t="shared" si="35"/>
        <v>369972</v>
      </c>
    </row>
    <row r="64" spans="2:14" x14ac:dyDescent="0.25">
      <c r="B64" s="4" t="s">
        <v>99</v>
      </c>
      <c r="G64" s="29" t="str">
        <f>G52</f>
        <v>X</v>
      </c>
      <c r="H64" s="30">
        <f t="shared" ref="H64:K64" si="36">H52</f>
        <v>-54390</v>
      </c>
      <c r="I64" s="30">
        <f t="shared" si="36"/>
        <v>-166153</v>
      </c>
      <c r="J64" s="30">
        <f t="shared" si="36"/>
        <v>-169051</v>
      </c>
      <c r="K64" s="30">
        <f t="shared" si="36"/>
        <v>-191582</v>
      </c>
      <c r="L64" s="30">
        <f t="shared" ref="L64:M64" si="37">L52</f>
        <v>-82114</v>
      </c>
      <c r="M64" s="30">
        <f t="shared" si="37"/>
        <v>-23916</v>
      </c>
    </row>
    <row r="66" spans="2:18" x14ac:dyDescent="0.25">
      <c r="B66" s="4" t="s">
        <v>85</v>
      </c>
      <c r="G66" s="39" t="s">
        <v>44</v>
      </c>
      <c r="H66" s="40">
        <f>H59/H32</f>
        <v>4.6248923560103336E-2</v>
      </c>
      <c r="I66" s="40">
        <f t="shared" ref="I66:K66" si="38">I59/I32</f>
        <v>0</v>
      </c>
      <c r="J66" s="40">
        <f t="shared" si="38"/>
        <v>0</v>
      </c>
      <c r="K66" s="40">
        <f t="shared" si="38"/>
        <v>1.4738344745835383</v>
      </c>
      <c r="L66" s="40">
        <f t="shared" ref="L66:M66" si="39">L59/L32</f>
        <v>1.9578535345087149</v>
      </c>
      <c r="M66" s="40">
        <f t="shared" si="39"/>
        <v>2.2084169160445919</v>
      </c>
    </row>
    <row r="69" spans="2:18" ht="26.25" x14ac:dyDescent="0.4">
      <c r="B69" s="1" t="s">
        <v>86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2:18" x14ac:dyDescent="0.25">
      <c r="H70" s="3"/>
      <c r="I70" s="3"/>
      <c r="J70" s="3"/>
      <c r="K70" s="3"/>
      <c r="L70" s="3"/>
      <c r="M70" s="3"/>
    </row>
    <row r="71" spans="2:18" ht="16.5" thickBot="1" x14ac:dyDescent="0.3">
      <c r="G71" s="5">
        <v>2021</v>
      </c>
      <c r="H71" s="50">
        <v>2022</v>
      </c>
      <c r="I71" s="50">
        <v>2023</v>
      </c>
      <c r="J71" s="50">
        <f t="shared" ref="J71" si="40">I71+1</f>
        <v>2024</v>
      </c>
      <c r="K71" s="50">
        <f t="shared" ref="K71" si="41">J71+1</f>
        <v>2025</v>
      </c>
      <c r="L71" s="50" t="s">
        <v>165</v>
      </c>
      <c r="M71" s="50" t="s">
        <v>166</v>
      </c>
    </row>
    <row r="72" spans="2:18" x14ac:dyDescent="0.25">
      <c r="R72" s="4">
        <f>80/5.6</f>
        <v>14.285714285714286</v>
      </c>
    </row>
    <row r="73" spans="2:18" x14ac:dyDescent="0.25">
      <c r="B73" s="4" t="s">
        <v>34</v>
      </c>
      <c r="G73" s="29" t="s">
        <v>44</v>
      </c>
      <c r="H73" s="30">
        <f>H9</f>
        <v>7576</v>
      </c>
      <c r="I73" s="30">
        <f t="shared" ref="I73:K73" si="42">I9</f>
        <v>9916</v>
      </c>
      <c r="J73" s="30">
        <f t="shared" si="42"/>
        <v>9188</v>
      </c>
      <c r="K73" s="30">
        <f t="shared" si="42"/>
        <v>16902</v>
      </c>
      <c r="L73" s="30">
        <f t="shared" ref="L73:M73" si="43">L9</f>
        <v>23313</v>
      </c>
      <c r="M73" s="30">
        <f t="shared" si="43"/>
        <v>12129</v>
      </c>
    </row>
    <row r="74" spans="2:18" x14ac:dyDescent="0.25">
      <c r="B74" s="4" t="s">
        <v>35</v>
      </c>
      <c r="G74" s="29" t="s">
        <v>44</v>
      </c>
      <c r="H74" s="30">
        <f>H10</f>
        <v>70230</v>
      </c>
      <c r="I74" s="30">
        <f t="shared" ref="I74:K74" si="44">I10</f>
        <v>84106</v>
      </c>
      <c r="J74" s="30">
        <f t="shared" si="44"/>
        <v>99810</v>
      </c>
      <c r="K74" s="30">
        <f t="shared" si="44"/>
        <v>135181</v>
      </c>
      <c r="L74" s="30">
        <f t="shared" ref="L74:M74" si="45">L10</f>
        <v>147976</v>
      </c>
      <c r="M74" s="30">
        <f t="shared" si="45"/>
        <v>152170</v>
      </c>
    </row>
    <row r="75" spans="2:18" ht="16.5" thickBot="1" x14ac:dyDescent="0.3">
      <c r="B75" s="4" t="s">
        <v>45</v>
      </c>
      <c r="G75" s="43" t="s">
        <v>44</v>
      </c>
      <c r="H75" s="44">
        <f>H22</f>
        <v>44807</v>
      </c>
      <c r="I75" s="44">
        <f t="shared" ref="I75:K75" si="46">I22</f>
        <v>56185</v>
      </c>
      <c r="J75" s="44">
        <f t="shared" si="46"/>
        <v>79130</v>
      </c>
      <c r="K75" s="44">
        <f t="shared" si="46"/>
        <v>75957</v>
      </c>
      <c r="L75" s="44">
        <f t="shared" ref="L75:M75" si="47">L22</f>
        <v>65252</v>
      </c>
      <c r="M75" s="44">
        <f t="shared" si="47"/>
        <v>63076</v>
      </c>
    </row>
    <row r="76" spans="2:18" x14ac:dyDescent="0.25">
      <c r="B76" s="7" t="s">
        <v>87</v>
      </c>
      <c r="G76" s="22" t="s">
        <v>44</v>
      </c>
      <c r="H76" s="10">
        <f>H73+H74-H75</f>
        <v>32999</v>
      </c>
      <c r="I76" s="10">
        <f t="shared" ref="I76:L76" si="48">I73+I74-I75</f>
        <v>37837</v>
      </c>
      <c r="J76" s="10">
        <f t="shared" si="48"/>
        <v>29868</v>
      </c>
      <c r="K76" s="10">
        <f t="shared" si="48"/>
        <v>76126</v>
      </c>
      <c r="L76" s="10">
        <f t="shared" si="48"/>
        <v>106037</v>
      </c>
      <c r="M76" s="10">
        <f t="shared" ref="M76" si="49">M73+M74-M75</f>
        <v>101223</v>
      </c>
    </row>
    <row r="78" spans="2:18" x14ac:dyDescent="0.25">
      <c r="B78" s="7" t="s">
        <v>88</v>
      </c>
    </row>
    <row r="79" spans="2:18" x14ac:dyDescent="0.25">
      <c r="B79" s="27" t="s">
        <v>5</v>
      </c>
      <c r="G79" s="18"/>
      <c r="H79" s="18">
        <f>'Historical Financials'!H11</f>
        <v>324520</v>
      </c>
      <c r="I79" s="18">
        <f>'Historical Financials'!I11</f>
        <v>508685</v>
      </c>
      <c r="J79" s="18">
        <f>'Historical Financials'!J11</f>
        <v>647040</v>
      </c>
      <c r="K79" s="18">
        <f>'Historical Financials'!K11</f>
        <v>809844</v>
      </c>
      <c r="L79" s="18">
        <f>K79*(1+-0.35)</f>
        <v>526398.6</v>
      </c>
      <c r="M79" s="18">
        <f>L79*(1+-0.35)</f>
        <v>342159.09</v>
      </c>
    </row>
    <row r="80" spans="2:18" x14ac:dyDescent="0.25">
      <c r="B80" s="27" t="s">
        <v>34</v>
      </c>
      <c r="H80" s="41">
        <f>H73/H79</f>
        <v>2.3345248366818686E-2</v>
      </c>
      <c r="I80" s="41">
        <f t="shared" ref="I80:L80" si="50">I73/I79</f>
        <v>1.9493399648112291E-2</v>
      </c>
      <c r="J80" s="41">
        <f t="shared" si="50"/>
        <v>1.4200049455984173E-2</v>
      </c>
      <c r="K80" s="41">
        <f t="shared" si="50"/>
        <v>2.0870686206232312E-2</v>
      </c>
      <c r="L80" s="41">
        <f t="shared" si="50"/>
        <v>4.4287731768283579E-2</v>
      </c>
      <c r="M80" s="41">
        <f t="shared" ref="M80" si="51">M73/M79</f>
        <v>3.5448422545196735E-2</v>
      </c>
    </row>
    <row r="81" spans="2:15" x14ac:dyDescent="0.25">
      <c r="B81" s="27" t="s">
        <v>35</v>
      </c>
      <c r="H81" s="41">
        <f>H74/H79</f>
        <v>0.2164119314680143</v>
      </c>
      <c r="I81" s="41">
        <f t="shared" ref="I81:K81" si="52">I74/I79</f>
        <v>0.16534004344535419</v>
      </c>
      <c r="J81" s="41">
        <f t="shared" si="52"/>
        <v>0.15425630563798221</v>
      </c>
      <c r="K81" s="41">
        <f t="shared" si="52"/>
        <v>0.16692227144981009</v>
      </c>
      <c r="L81" s="41">
        <f t="shared" ref="L81:M81" si="53">L74/L79</f>
        <v>0.28111017012583239</v>
      </c>
      <c r="M81" s="41">
        <f t="shared" si="53"/>
        <v>0.44473464083622616</v>
      </c>
    </row>
    <row r="82" spans="2:15" x14ac:dyDescent="0.25">
      <c r="B82" s="27" t="s">
        <v>45</v>
      </c>
      <c r="H82" s="41">
        <f>H75/H79</f>
        <v>0.1380716134598792</v>
      </c>
      <c r="I82" s="41">
        <f t="shared" ref="I82:K82" si="54">I75/I79</f>
        <v>0.11045145817156</v>
      </c>
      <c r="J82" s="41">
        <f t="shared" si="54"/>
        <v>0.12229537586547973</v>
      </c>
      <c r="K82" s="41">
        <f t="shared" si="54"/>
        <v>9.3792137745047188E-2</v>
      </c>
      <c r="L82" s="41">
        <f t="shared" ref="L82:M82" si="55">L75/L79</f>
        <v>0.12395929624432893</v>
      </c>
      <c r="M82" s="41">
        <f t="shared" si="55"/>
        <v>0.18434699484383127</v>
      </c>
    </row>
    <row r="83" spans="2:15" x14ac:dyDescent="0.25">
      <c r="B83" s="27" t="s">
        <v>87</v>
      </c>
      <c r="H83" s="41">
        <f>H76/H79</f>
        <v>0.10168556637495378</v>
      </c>
      <c r="I83" s="41">
        <f t="shared" ref="I83:K83" si="56">I76/I79</f>
        <v>7.438198492190648E-2</v>
      </c>
      <c r="J83" s="41">
        <f t="shared" si="56"/>
        <v>4.6160979228486644E-2</v>
      </c>
      <c r="K83" s="41">
        <f t="shared" si="56"/>
        <v>9.4000819910995209E-2</v>
      </c>
      <c r="L83" s="41">
        <f t="shared" ref="L83:M83" si="57">L76/L79</f>
        <v>0.20143860564978708</v>
      </c>
      <c r="M83" s="41">
        <f t="shared" si="57"/>
        <v>0.29583606853759165</v>
      </c>
    </row>
    <row r="85" spans="2:15" x14ac:dyDescent="0.25">
      <c r="B85" s="7" t="s">
        <v>92</v>
      </c>
    </row>
    <row r="86" spans="2:15" x14ac:dyDescent="0.25">
      <c r="B86" s="27" t="s">
        <v>89</v>
      </c>
      <c r="I86" s="42">
        <f>((I73+H73)/2)/I79*365</f>
        <v>6.2755732919193603</v>
      </c>
      <c r="J86" s="42">
        <f t="shared" ref="J86:K86" si="58">((J73+I73)/2)/J79*365</f>
        <v>5.3883531157270035</v>
      </c>
      <c r="K86" s="42">
        <f t="shared" si="58"/>
        <v>5.8794348047278238</v>
      </c>
      <c r="L86" s="42">
        <f>((L73+K73)/2)/L79*365</f>
        <v>13.942357559461595</v>
      </c>
      <c r="M86" s="42">
        <f t="shared" ref="M86" si="59">((M73+L73)/2)/M79*365</f>
        <v>18.903969495593408</v>
      </c>
      <c r="O86" s="4" t="s">
        <v>94</v>
      </c>
    </row>
    <row r="87" spans="2:15" x14ac:dyDescent="0.25">
      <c r="B87" s="27" t="s">
        <v>90</v>
      </c>
      <c r="I87" s="42">
        <f>((I74+H74)/2)/I79*365</f>
        <v>55.370848363918732</v>
      </c>
      <c r="J87" s="42">
        <f t="shared" ref="J87:K87" si="60">((J74+I74)/2)/J79*365</f>
        <v>51.874180885262113</v>
      </c>
      <c r="K87" s="42">
        <f t="shared" si="60"/>
        <v>52.955701962353238</v>
      </c>
      <c r="L87" s="42">
        <f>((L74+K74)/2)/L79*365</f>
        <v>98.169243801180329</v>
      </c>
      <c r="M87" s="42">
        <f t="shared" ref="M87" si="61">((M74+L74)/2)/M79*365</f>
        <v>160.09115818024884</v>
      </c>
      <c r="O87" s="4" t="s">
        <v>95</v>
      </c>
    </row>
    <row r="88" spans="2:15" x14ac:dyDescent="0.25">
      <c r="B88" s="27" t="s">
        <v>91</v>
      </c>
      <c r="I88" s="42">
        <f>((I75+H75)/2)/I79*365</f>
        <v>36.232717693661108</v>
      </c>
      <c r="J88" s="42">
        <f t="shared" ref="J88:K88" si="62">((J75+I75)/2)/J79*365</f>
        <v>38.166090968100889</v>
      </c>
      <c r="K88" s="42">
        <f t="shared" si="62"/>
        <v>34.949172309728787</v>
      </c>
      <c r="L88" s="42">
        <f t="shared" ref="L88:M88" si="63">((L75+K75)/2)/L79*365</f>
        <v>48.956517931468667</v>
      </c>
      <c r="M88" s="42">
        <f t="shared" si="63"/>
        <v>68.447282812214638</v>
      </c>
      <c r="O88" s="4" t="s">
        <v>96</v>
      </c>
    </row>
    <row r="89" spans="2:15" x14ac:dyDescent="0.25">
      <c r="B89" s="27" t="s">
        <v>93</v>
      </c>
      <c r="I89" s="42">
        <f>I86+I87-I88</f>
        <v>25.413703962176982</v>
      </c>
      <c r="J89" s="42">
        <f t="shared" ref="J89:L89" si="64">J86+J87-J88</f>
        <v>19.096443032888232</v>
      </c>
      <c r="K89" s="42">
        <f t="shared" si="64"/>
        <v>23.885964457352273</v>
      </c>
      <c r="L89" s="42">
        <f t="shared" si="64"/>
        <v>63.15508342917326</v>
      </c>
      <c r="M89" s="42">
        <f t="shared" ref="M89" si="65">M86+M87-M88</f>
        <v>110.5478448636276</v>
      </c>
      <c r="O89" s="4" t="s">
        <v>97</v>
      </c>
    </row>
    <row r="92" spans="2:15" ht="26.25" x14ac:dyDescent="0.4">
      <c r="B92" s="1" t="s">
        <v>98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2:15" x14ac:dyDescent="0.25">
      <c r="H93" s="3"/>
      <c r="I93" s="3"/>
      <c r="J93" s="3"/>
      <c r="K93" s="3"/>
      <c r="L93" s="3"/>
      <c r="M93" s="3"/>
    </row>
    <row r="94" spans="2:15" ht="16.5" thickBot="1" x14ac:dyDescent="0.3">
      <c r="G94" s="5">
        <v>2021</v>
      </c>
      <c r="H94" s="50">
        <v>2022</v>
      </c>
      <c r="I94" s="50">
        <v>2023</v>
      </c>
      <c r="J94" s="50">
        <f t="shared" ref="J94" si="66">I94+1</f>
        <v>2024</v>
      </c>
      <c r="K94" s="50">
        <f t="shared" ref="K94" si="67">J94+1</f>
        <v>2025</v>
      </c>
      <c r="L94" s="50" t="s">
        <v>165</v>
      </c>
      <c r="M94" s="50" t="s">
        <v>166</v>
      </c>
    </row>
    <row r="96" spans="2:15" x14ac:dyDescent="0.25">
      <c r="B96" s="4" t="s">
        <v>107</v>
      </c>
      <c r="G96" s="29" t="s">
        <v>44</v>
      </c>
      <c r="H96" s="18">
        <f>H9+H10+H11-H22-H23</f>
        <v>4379</v>
      </c>
      <c r="I96" s="18">
        <f t="shared" ref="I96:K96" si="68">I9+I10+I11-I22-I23</f>
        <v>2656</v>
      </c>
      <c r="J96" s="18">
        <f t="shared" si="68"/>
        <v>5453</v>
      </c>
      <c r="K96" s="18">
        <f t="shared" si="68"/>
        <v>79593</v>
      </c>
      <c r="L96" s="18">
        <f>L9+L10+L11-L22-L23</f>
        <v>87752</v>
      </c>
      <c r="M96" s="18">
        <f>M9+M10+M11-M22-M23</f>
        <v>90094</v>
      </c>
    </row>
    <row r="97" spans="2:14" x14ac:dyDescent="0.25">
      <c r="B97" s="4" t="s">
        <v>100</v>
      </c>
      <c r="G97" s="29" t="s">
        <v>44</v>
      </c>
      <c r="H97" s="18">
        <f>H96+H15+H16+H17</f>
        <v>56884</v>
      </c>
      <c r="I97" s="18">
        <f t="shared" ref="I97:L97" si="69">I96+I15+I16+I17</f>
        <v>112806</v>
      </c>
      <c r="J97" s="18">
        <f t="shared" si="69"/>
        <v>116632</v>
      </c>
      <c r="K97" s="18">
        <f t="shared" si="69"/>
        <v>198943</v>
      </c>
      <c r="L97" s="18">
        <f t="shared" si="69"/>
        <v>208783</v>
      </c>
      <c r="M97" s="18">
        <f t="shared" ref="M97" si="70">M96+M15+M16+M17</f>
        <v>213504</v>
      </c>
    </row>
    <row r="98" spans="2:14" x14ac:dyDescent="0.25">
      <c r="B98" s="4" t="s">
        <v>108</v>
      </c>
      <c r="G98" s="29" t="s">
        <v>44</v>
      </c>
      <c r="H98" s="29" t="s">
        <v>44</v>
      </c>
      <c r="I98" s="18">
        <f>(I97+H97)/2</f>
        <v>84845</v>
      </c>
      <c r="J98" s="18">
        <f t="shared" ref="J98:M98" si="71">(J97+I97)/2</f>
        <v>114719</v>
      </c>
      <c r="K98" s="18">
        <f t="shared" si="71"/>
        <v>157787.5</v>
      </c>
      <c r="L98" s="18">
        <f t="shared" si="71"/>
        <v>203863</v>
      </c>
      <c r="M98" s="18">
        <f t="shared" si="71"/>
        <v>211143.5</v>
      </c>
    </row>
    <row r="99" spans="2:14" x14ac:dyDescent="0.25">
      <c r="G99" s="29"/>
      <c r="H99" s="18"/>
      <c r="I99" s="18"/>
      <c r="J99" s="18"/>
      <c r="K99" s="18"/>
      <c r="L99" s="18"/>
    </row>
    <row r="100" spans="2:14" x14ac:dyDescent="0.25">
      <c r="B100" s="4" t="s">
        <v>101</v>
      </c>
      <c r="G100" s="29" t="s">
        <v>44</v>
      </c>
      <c r="H100" s="18">
        <f>'Historical Financials'!G16*(1-'IS Analysis'!G50)</f>
        <v>14575.102763616849</v>
      </c>
      <c r="I100" s="18">
        <f>'Historical Financials'!H16*(1-'IS Analysis'!H50)</f>
        <v>20790.852241283897</v>
      </c>
      <c r="J100" s="18">
        <f>'Historical Financials'!I16*(1-'IS Analysis'!I50)</f>
        <v>55344.458874569027</v>
      </c>
      <c r="K100" s="18">
        <f>'Historical Financials'!J16*(1-'IS Analysis'!J50)</f>
        <v>91726.420965396464</v>
      </c>
      <c r="L100" s="18">
        <f>'Historical Financials'!K16*(1-'IS Analysis'!K50)</f>
        <v>96924.827014479932</v>
      </c>
      <c r="M100" s="18">
        <f>'Historical Financials'!L16*(1-'IS Analysis'!L50)</f>
        <v>-26976.411514070551</v>
      </c>
    </row>
    <row r="101" spans="2:14" x14ac:dyDescent="0.25">
      <c r="B101" s="4" t="s">
        <v>109</v>
      </c>
      <c r="G101" s="29" t="s">
        <v>44</v>
      </c>
      <c r="H101" s="29" t="s">
        <v>44</v>
      </c>
      <c r="I101" s="18">
        <f>(I100+H100)/2</f>
        <v>17682.977502450372</v>
      </c>
      <c r="J101" s="18">
        <f t="shared" ref="J101:K101" si="72">(J100+I100)/2</f>
        <v>38067.65555792646</v>
      </c>
      <c r="K101" s="18">
        <f t="shared" si="72"/>
        <v>73535.439919982746</v>
      </c>
      <c r="L101" s="18">
        <f>(L100+K100)/2</f>
        <v>94325.623989938205</v>
      </c>
      <c r="M101" s="18">
        <f>(M100+L100)/2</f>
        <v>34974.207750204689</v>
      </c>
    </row>
    <row r="102" spans="2:14" x14ac:dyDescent="0.25">
      <c r="G102" s="29"/>
      <c r="H102" s="18"/>
      <c r="I102" s="18"/>
      <c r="J102" s="18"/>
      <c r="K102" s="18"/>
      <c r="L102" s="18"/>
    </row>
    <row r="103" spans="2:14" x14ac:dyDescent="0.25">
      <c r="B103" s="4" t="s">
        <v>102</v>
      </c>
      <c r="G103" s="29" t="s">
        <v>44</v>
      </c>
      <c r="H103" s="41">
        <f>H100/H97</f>
        <v>0.25622499760243389</v>
      </c>
      <c r="I103" s="41">
        <f t="shared" ref="I103:L103" si="73">I100/I97</f>
        <v>0.18430626244423079</v>
      </c>
      <c r="J103" s="41">
        <f t="shared" si="73"/>
        <v>0.47452207691344594</v>
      </c>
      <c r="K103" s="41">
        <f t="shared" si="73"/>
        <v>0.46106885371888662</v>
      </c>
      <c r="L103" s="41">
        <f t="shared" si="73"/>
        <v>0.46423716018296474</v>
      </c>
      <c r="M103" s="41">
        <f t="shared" ref="M103" si="74">M100/M97</f>
        <v>-0.12635084829357085</v>
      </c>
    </row>
    <row r="104" spans="2:14" x14ac:dyDescent="0.25">
      <c r="B104" s="4" t="s">
        <v>103</v>
      </c>
      <c r="G104" s="29" t="s">
        <v>44</v>
      </c>
      <c r="H104" s="29" t="s">
        <v>44</v>
      </c>
      <c r="I104" s="41">
        <f>I101/I98</f>
        <v>0.20841508046968441</v>
      </c>
      <c r="J104" s="41">
        <f t="shared" ref="J104:L104" si="75">J101/J98</f>
        <v>0.33183392077970048</v>
      </c>
      <c r="K104" s="41">
        <f t="shared" si="75"/>
        <v>0.46604097232025821</v>
      </c>
      <c r="L104" s="41">
        <f t="shared" si="75"/>
        <v>0.46269123867468942</v>
      </c>
      <c r="M104" s="41">
        <f t="shared" ref="M104" si="76">M101/M98</f>
        <v>0.16564188691673998</v>
      </c>
    </row>
    <row r="106" spans="2:14" x14ac:dyDescent="0.25">
      <c r="B106" s="4" t="s">
        <v>105</v>
      </c>
      <c r="G106" s="29" t="s">
        <v>44</v>
      </c>
      <c r="H106" s="29" t="s">
        <v>44</v>
      </c>
      <c r="I106" s="41">
        <f>'Historical Financials'!I25/(('BS Analysis '!I20+'BS Analysis '!H20)/2)</f>
        <v>0.18842002594501331</v>
      </c>
      <c r="J106" s="41">
        <f>'Historical Financials'!J25/(('BS Analysis '!J20+'BS Analysis '!I20)/2)</f>
        <v>0.24056042513048301</v>
      </c>
      <c r="K106" s="41">
        <f>'Historical Financials'!K25/(('BS Analysis '!K20+'BS Analysis '!J20)/2)</f>
        <v>0.14047926204148733</v>
      </c>
      <c r="L106" s="41">
        <f>'Historical Financials'!L25/(('BS Analysis '!L20+'BS Analysis '!K20)/2)</f>
        <v>-1.9528994765541898E-2</v>
      </c>
      <c r="M106" s="41">
        <f>'Historical Financials'!M25/(('BS Analysis '!M20+'BS Analysis '!L20)/2)</f>
        <v>1.2987732688480818E-2</v>
      </c>
    </row>
    <row r="107" spans="2:14" x14ac:dyDescent="0.25">
      <c r="B107" s="4" t="s">
        <v>104</v>
      </c>
      <c r="G107" s="29" t="s">
        <v>44</v>
      </c>
      <c r="H107" s="29" t="s">
        <v>44</v>
      </c>
      <c r="I107" s="41">
        <f>'Historical Financials'!I25/(('BS Analysis '!I32+'BS Analysis '!H32)/2)</f>
        <v>0.30661163085497573</v>
      </c>
      <c r="J107" s="41">
        <f>'Historical Financials'!J25/(('BS Analysis '!J32+'BS Analysis '!I32)/2)</f>
        <v>0.35899902902490399</v>
      </c>
      <c r="K107" s="41">
        <f>'Historical Financials'!K25/(('BS Analysis '!K32+'BS Analysis '!J32)/2)</f>
        <v>0.32629688611798191</v>
      </c>
      <c r="L107" s="41">
        <f>'Historical Financials'!L25/(('BS Analysis '!L32+'BS Analysis '!K32)/2)</f>
        <v>-6.143470351809377E-2</v>
      </c>
      <c r="M107" s="41">
        <f>'Historical Financials'!M25/(('BS Analysis '!M32+'BS Analysis '!L32)/2)</f>
        <v>4.7548609138628725E-2</v>
      </c>
    </row>
    <row r="109" spans="2:14" x14ac:dyDescent="0.25">
      <c r="B109" s="4" t="s">
        <v>106</v>
      </c>
      <c r="I109" s="45">
        <f>'Historical Financials'!I11/(('BS Analysis '!I20+'BS Analysis '!H20)/2)</f>
        <v>1.6374490193364386</v>
      </c>
      <c r="J109" s="45">
        <f>'Historical Financials'!J11/(('BS Analysis '!J20+'BS Analysis '!I20)/2)</f>
        <v>1.5336553731506017</v>
      </c>
      <c r="K109" s="45">
        <f>'Historical Financials'!K11/(('BS Analysis '!K20+'BS Analysis '!J20)/2)</f>
        <v>1.0272814798747236</v>
      </c>
      <c r="L109" s="45">
        <f>'Historical Financials'!L11/(('BS Analysis '!L20+'BS Analysis '!K20)/2)</f>
        <v>0.18096386985119439</v>
      </c>
      <c r="M109" s="45">
        <f>'Historical Financials'!M11/(('BS Analysis '!M20+'BS Analysis '!L20)/2)</f>
        <v>0.18188568981586439</v>
      </c>
    </row>
    <row r="112" spans="2:14" ht="26.25" x14ac:dyDescent="0.4">
      <c r="B112" s="1" t="s">
        <v>127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2:15" x14ac:dyDescent="0.25">
      <c r="H113" s="3"/>
      <c r="I113" s="3"/>
      <c r="J113" s="3"/>
      <c r="K113" s="3"/>
      <c r="L113" s="3"/>
      <c r="M113" s="3"/>
    </row>
    <row r="114" spans="2:15" x14ac:dyDescent="0.25">
      <c r="H114" s="75"/>
      <c r="I114" s="75"/>
      <c r="J114" s="75"/>
      <c r="K114" s="75"/>
      <c r="L114" s="75"/>
      <c r="M114" s="75"/>
    </row>
    <row r="116" spans="2:15" ht="16.5" thickBot="1" x14ac:dyDescent="0.3">
      <c r="B116" s="12" t="s">
        <v>6</v>
      </c>
      <c r="G116" s="5">
        <v>2026</v>
      </c>
      <c r="I116" s="47" t="s">
        <v>128</v>
      </c>
      <c r="J116" s="53"/>
      <c r="K116" s="47" t="s">
        <v>129</v>
      </c>
      <c r="M116" s="47" t="s">
        <v>130</v>
      </c>
    </row>
    <row r="118" spans="2:15" x14ac:dyDescent="0.25">
      <c r="B118" s="4" t="s">
        <v>33</v>
      </c>
      <c r="G118" s="9">
        <v>278597</v>
      </c>
      <c r="I118" s="52">
        <v>1</v>
      </c>
      <c r="K118" s="18">
        <f>G118*I118</f>
        <v>278597</v>
      </c>
      <c r="M118" s="4" t="s">
        <v>43</v>
      </c>
      <c r="O118" s="18">
        <f>K132</f>
        <v>921865.95</v>
      </c>
    </row>
    <row r="119" spans="2:15" ht="16.5" thickBot="1" x14ac:dyDescent="0.3">
      <c r="B119" s="4" t="s">
        <v>75</v>
      </c>
      <c r="G119" s="9">
        <v>0</v>
      </c>
      <c r="I119" s="52">
        <v>1</v>
      </c>
      <c r="K119" s="18">
        <f t="shared" ref="K119:K143" si="77">G119*I119</f>
        <v>0</v>
      </c>
      <c r="M119" s="5" t="s">
        <v>51</v>
      </c>
      <c r="N119" s="47"/>
      <c r="O119" s="44">
        <f>K139</f>
        <v>750917</v>
      </c>
    </row>
    <row r="120" spans="2:15" x14ac:dyDescent="0.25">
      <c r="B120" s="4" t="s">
        <v>76</v>
      </c>
      <c r="G120" s="9">
        <v>17113</v>
      </c>
      <c r="I120" s="52">
        <v>1</v>
      </c>
      <c r="K120" s="18">
        <f t="shared" si="77"/>
        <v>17113</v>
      </c>
      <c r="M120" s="4" t="s">
        <v>132</v>
      </c>
      <c r="O120" s="18">
        <f>O118-O119</f>
        <v>170948.94999999995</v>
      </c>
    </row>
    <row r="121" spans="2:15" x14ac:dyDescent="0.25">
      <c r="B121" s="4" t="s">
        <v>34</v>
      </c>
      <c r="G121" s="9">
        <v>23313</v>
      </c>
      <c r="I121" s="52">
        <v>0.95</v>
      </c>
      <c r="K121" s="18">
        <f t="shared" si="77"/>
        <v>22147.35</v>
      </c>
    </row>
    <row r="122" spans="2:15" x14ac:dyDescent="0.25">
      <c r="B122" s="4" t="s">
        <v>35</v>
      </c>
      <c r="G122" s="9">
        <v>147976</v>
      </c>
      <c r="I122" s="52">
        <v>0.8</v>
      </c>
      <c r="K122" s="18">
        <f t="shared" si="77"/>
        <v>118380.8</v>
      </c>
      <c r="M122" s="4" t="s">
        <v>131</v>
      </c>
      <c r="O122" s="18">
        <v>56317</v>
      </c>
    </row>
    <row r="123" spans="2:15" ht="16.5" thickBot="1" x14ac:dyDescent="0.3">
      <c r="B123" s="4" t="s">
        <v>36</v>
      </c>
      <c r="G123" s="6">
        <v>33089</v>
      </c>
      <c r="I123" s="52">
        <v>1</v>
      </c>
      <c r="K123" s="58">
        <f t="shared" si="77"/>
        <v>33089</v>
      </c>
      <c r="M123" s="4" t="s">
        <v>133</v>
      </c>
      <c r="O123" s="4">
        <f>O120/O122</f>
        <v>3.0354768542358426</v>
      </c>
    </row>
    <row r="124" spans="2:15" x14ac:dyDescent="0.25">
      <c r="B124" s="7" t="s">
        <v>37</v>
      </c>
      <c r="G124" s="10">
        <f t="shared" ref="G124" si="78">SUM(G118:G123)</f>
        <v>500088</v>
      </c>
      <c r="I124" s="52"/>
      <c r="K124" s="10">
        <f>SUM(K118:K123)</f>
        <v>469327.14999999997</v>
      </c>
    </row>
    <row r="125" spans="2:15" x14ac:dyDescent="0.25">
      <c r="I125" s="52"/>
      <c r="K125" s="18"/>
    </row>
    <row r="126" spans="2:15" x14ac:dyDescent="0.25">
      <c r="B126" s="4" t="s">
        <v>76</v>
      </c>
      <c r="G126" s="9">
        <v>371626</v>
      </c>
      <c r="I126" s="52">
        <v>1</v>
      </c>
      <c r="K126" s="18">
        <f t="shared" si="77"/>
        <v>371626</v>
      </c>
    </row>
    <row r="127" spans="2:15" x14ac:dyDescent="0.25">
      <c r="B127" s="4" t="s">
        <v>38</v>
      </c>
      <c r="G127" s="9">
        <v>9986</v>
      </c>
      <c r="I127" s="52">
        <v>0.8</v>
      </c>
      <c r="K127" s="18">
        <f t="shared" si="77"/>
        <v>7988.8</v>
      </c>
    </row>
    <row r="128" spans="2:15" x14ac:dyDescent="0.25">
      <c r="B128" s="4" t="s">
        <v>39</v>
      </c>
      <c r="G128" s="9">
        <v>46141</v>
      </c>
      <c r="I128" s="52">
        <v>1</v>
      </c>
      <c r="K128" s="18">
        <f t="shared" si="77"/>
        <v>46141</v>
      </c>
    </row>
    <row r="129" spans="2:11" x14ac:dyDescent="0.25">
      <c r="B129" s="4" t="s">
        <v>40</v>
      </c>
      <c r="G129" s="9">
        <v>64904</v>
      </c>
      <c r="I129" s="52">
        <v>0</v>
      </c>
      <c r="K129" s="18">
        <f t="shared" si="77"/>
        <v>0</v>
      </c>
    </row>
    <row r="130" spans="2:11" x14ac:dyDescent="0.25">
      <c r="B130" s="4" t="s">
        <v>41</v>
      </c>
      <c r="G130" s="9">
        <v>30299</v>
      </c>
      <c r="I130" s="52">
        <v>0</v>
      </c>
      <c r="K130" s="18">
        <f t="shared" si="77"/>
        <v>0</v>
      </c>
    </row>
    <row r="131" spans="2:11" ht="16.5" thickBot="1" x14ac:dyDescent="0.3">
      <c r="B131" s="4" t="s">
        <v>42</v>
      </c>
      <c r="G131" s="6">
        <f>22701+4082</f>
        <v>26783</v>
      </c>
      <c r="I131" s="52">
        <v>1</v>
      </c>
      <c r="K131" s="44">
        <f t="shared" si="77"/>
        <v>26783</v>
      </c>
    </row>
    <row r="132" spans="2:11" x14ac:dyDescent="0.25">
      <c r="B132" s="7" t="s">
        <v>43</v>
      </c>
      <c r="G132" s="10">
        <f t="shared" ref="G132" si="79">SUM(G124:G131)</f>
        <v>1049827</v>
      </c>
      <c r="I132" s="52"/>
      <c r="K132" s="10">
        <f>SUM(K126:K131)+K124</f>
        <v>921865.95</v>
      </c>
    </row>
    <row r="133" spans="2:11" x14ac:dyDescent="0.25">
      <c r="I133" s="52"/>
      <c r="K133" s="18"/>
    </row>
    <row r="134" spans="2:11" x14ac:dyDescent="0.25">
      <c r="B134" s="4" t="s">
        <v>45</v>
      </c>
      <c r="G134" s="9">
        <v>65252</v>
      </c>
      <c r="I134" s="52">
        <v>1</v>
      </c>
      <c r="K134" s="18">
        <f t="shared" si="77"/>
        <v>65252</v>
      </c>
    </row>
    <row r="135" spans="2:11" x14ac:dyDescent="0.25">
      <c r="B135" s="4" t="s">
        <v>46</v>
      </c>
      <c r="G135" s="9">
        <v>51374</v>
      </c>
      <c r="I135" s="52">
        <v>1</v>
      </c>
      <c r="K135" s="18">
        <f t="shared" si="77"/>
        <v>51374</v>
      </c>
    </row>
    <row r="136" spans="2:11" x14ac:dyDescent="0.25">
      <c r="B136" s="4" t="s">
        <v>47</v>
      </c>
      <c r="G136" s="9">
        <v>585222</v>
      </c>
      <c r="I136" s="52">
        <v>1</v>
      </c>
      <c r="K136" s="18">
        <f t="shared" si="77"/>
        <v>585222</v>
      </c>
    </row>
    <row r="137" spans="2:11" x14ac:dyDescent="0.25">
      <c r="B137" s="4" t="s">
        <v>49</v>
      </c>
      <c r="G137" s="9">
        <f>6537+17260</f>
        <v>23797</v>
      </c>
      <c r="I137" s="52">
        <v>1</v>
      </c>
      <c r="K137" s="18">
        <f t="shared" si="77"/>
        <v>23797</v>
      </c>
    </row>
    <row r="138" spans="2:11" ht="16.5" thickBot="1" x14ac:dyDescent="0.3">
      <c r="B138" s="4" t="s">
        <v>50</v>
      </c>
      <c r="G138" s="6">
        <v>25272</v>
      </c>
      <c r="I138" s="52">
        <v>1</v>
      </c>
      <c r="K138" s="44">
        <f t="shared" si="77"/>
        <v>25272</v>
      </c>
    </row>
    <row r="139" spans="2:11" x14ac:dyDescent="0.25">
      <c r="B139" s="7" t="s">
        <v>51</v>
      </c>
      <c r="G139" s="10">
        <f t="shared" ref="G139" si="80">SUM(G134:G138)</f>
        <v>750917</v>
      </c>
      <c r="I139" s="52"/>
      <c r="K139" s="10">
        <f>SUM(K134:K138)</f>
        <v>750917</v>
      </c>
    </row>
    <row r="140" spans="2:11" x14ac:dyDescent="0.25">
      <c r="I140" s="52"/>
      <c r="K140" s="18"/>
    </row>
    <row r="141" spans="2:11" x14ac:dyDescent="0.25">
      <c r="B141" s="4" t="s">
        <v>52</v>
      </c>
      <c r="G141" s="9">
        <v>4230</v>
      </c>
      <c r="I141" s="52"/>
      <c r="K141" s="18">
        <f t="shared" si="77"/>
        <v>0</v>
      </c>
    </row>
    <row r="142" spans="2:11" x14ac:dyDescent="0.25">
      <c r="B142" s="4" t="s">
        <v>53</v>
      </c>
      <c r="G142" s="9">
        <v>292653</v>
      </c>
      <c r="I142" s="52"/>
      <c r="K142" s="18">
        <f t="shared" si="77"/>
        <v>0</v>
      </c>
    </row>
    <row r="143" spans="2:11" ht="16.5" thickBot="1" x14ac:dyDescent="0.3">
      <c r="B143" s="4" t="s">
        <v>54</v>
      </c>
      <c r="G143" s="6">
        <v>2011</v>
      </c>
      <c r="I143" s="52"/>
      <c r="K143" s="44">
        <f t="shared" si="77"/>
        <v>0</v>
      </c>
    </row>
    <row r="144" spans="2:11" x14ac:dyDescent="0.25">
      <c r="B144" s="7" t="s">
        <v>55</v>
      </c>
      <c r="G144" s="20">
        <v>298910</v>
      </c>
      <c r="I144" s="52"/>
      <c r="K144" s="10">
        <f>SUM(K141:K143)</f>
        <v>0</v>
      </c>
    </row>
    <row r="145" spans="2:11" ht="16.5" thickBot="1" x14ac:dyDescent="0.3">
      <c r="G145" s="6"/>
      <c r="I145" s="52"/>
      <c r="K145" s="44"/>
    </row>
    <row r="146" spans="2:11" x14ac:dyDescent="0.25">
      <c r="B146" s="7" t="s">
        <v>56</v>
      </c>
      <c r="G146" s="10">
        <f t="shared" ref="G146" si="81">G139+G144</f>
        <v>1049827</v>
      </c>
      <c r="I146" s="52"/>
      <c r="K146" s="10">
        <f>K144+K139</f>
        <v>750917</v>
      </c>
    </row>
    <row r="149" spans="2:11" x14ac:dyDescent="0.25">
      <c r="B149" s="7" t="s">
        <v>134</v>
      </c>
    </row>
    <row r="151" spans="2:11" ht="16.5" thickBot="1" x14ac:dyDescent="0.3">
      <c r="B151" s="43"/>
      <c r="C151" s="43" t="s">
        <v>135</v>
      </c>
      <c r="D151" s="43"/>
      <c r="E151" s="43"/>
      <c r="F151" s="56" t="s">
        <v>136</v>
      </c>
      <c r="G151" s="56" t="s">
        <v>128</v>
      </c>
      <c r="H151" s="56" t="s">
        <v>137</v>
      </c>
      <c r="I151" s="46"/>
    </row>
    <row r="152" spans="2:11" x14ac:dyDescent="0.25">
      <c r="B152" s="23"/>
      <c r="C152" s="23"/>
      <c r="D152" s="14"/>
      <c r="E152" s="14"/>
      <c r="F152" s="14"/>
      <c r="G152" s="14"/>
      <c r="H152" s="14"/>
      <c r="I152" s="14"/>
    </row>
    <row r="153" spans="2:11" x14ac:dyDescent="0.25">
      <c r="B153" s="23"/>
      <c r="C153" s="23">
        <v>2023</v>
      </c>
      <c r="D153" s="55"/>
      <c r="E153" s="54"/>
      <c r="F153" s="55">
        <v>125625</v>
      </c>
      <c r="G153" s="54">
        <v>0</v>
      </c>
      <c r="H153" s="55">
        <f>F153*G153</f>
        <v>0</v>
      </c>
      <c r="I153" s="55"/>
    </row>
    <row r="154" spans="2:11" x14ac:dyDescent="0.25">
      <c r="B154" s="23"/>
      <c r="C154" s="23">
        <v>2024</v>
      </c>
      <c r="D154" s="55"/>
      <c r="E154" s="54"/>
      <c r="F154" s="55">
        <v>164370</v>
      </c>
      <c r="G154" s="54">
        <v>0.5</v>
      </c>
      <c r="H154" s="55">
        <f>F154*G154</f>
        <v>82185</v>
      </c>
      <c r="I154" s="55"/>
    </row>
    <row r="155" spans="2:11" x14ac:dyDescent="0.25">
      <c r="B155" s="23"/>
      <c r="C155" s="23">
        <v>2025</v>
      </c>
      <c r="D155" s="55"/>
      <c r="E155" s="54"/>
      <c r="F155" s="55">
        <v>245741</v>
      </c>
      <c r="G155" s="54">
        <v>1</v>
      </c>
      <c r="H155" s="55">
        <f>F155*G155</f>
        <v>245741</v>
      </c>
      <c r="I155" s="55"/>
    </row>
    <row r="156" spans="2:11" ht="16.5" thickBot="1" x14ac:dyDescent="0.3">
      <c r="H156" s="44"/>
      <c r="I156" s="30"/>
    </row>
    <row r="157" spans="2:11" x14ac:dyDescent="0.25">
      <c r="C157" s="4" t="s">
        <v>138</v>
      </c>
      <c r="H157" s="18">
        <f>SUM(H153:H155)</f>
        <v>327926</v>
      </c>
      <c r="I157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Historical Financials</vt:lpstr>
      <vt:lpstr>IS Analysis</vt:lpstr>
      <vt:lpstr>Valuation and Scenario</vt:lpstr>
      <vt:lpstr>BS Analysis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Conner Passafiume</dc:creator>
  <cp:lastModifiedBy>Conner Passafiume</cp:lastModifiedBy>
  <dcterms:created xsi:type="dcterms:W3CDTF">2026-08-05T16:32:55Z</dcterms:created>
  <dcterms:modified xsi:type="dcterms:W3CDTF">2026-09-15T15:44:30Z</dcterms:modified>
</cp:coreProperties>
</file>