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e\Documents\Finance\Models\"/>
    </mc:Choice>
  </mc:AlternateContent>
  <xr:revisionPtr revIDLastSave="0" documentId="13_ncr:1_{BF329FD5-32DE-4784-8E37-1CAA22BA9522}" xr6:coauthVersionLast="47" xr6:coauthVersionMax="47" xr10:uidLastSave="{00000000-0000-0000-0000-000000000000}"/>
  <bookViews>
    <workbookView xWindow="105" yWindow="660" windowWidth="15435" windowHeight="14190" activeTab="2" xr2:uid="{115C96A1-0AF5-4CAC-9516-0048BEB263CB}"/>
  </bookViews>
  <sheets>
    <sheet name="Historical Financials" sheetId="1" r:id="rId1"/>
    <sheet name="BS Analysis" sheetId="2" r:id="rId2"/>
    <sheet name="IS Analysis" sheetId="4" r:id="rId3"/>
    <sheet name="Substack Prett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3" i="7" l="1"/>
  <c r="G60" i="7"/>
  <c r="H58" i="7"/>
  <c r="I58" i="7" s="1"/>
  <c r="J58" i="7" s="1"/>
  <c r="K58" i="7" s="1"/>
  <c r="L58" i="7" s="1"/>
  <c r="M58" i="7" s="1"/>
  <c r="G35" i="7"/>
  <c r="H35" i="7" s="1"/>
  <c r="I35" i="7" s="1"/>
  <c r="G29" i="7"/>
  <c r="G27" i="7"/>
  <c r="H47" i="7"/>
  <c r="I47" i="7" s="1"/>
  <c r="J47" i="7" s="1"/>
  <c r="K47" i="7" s="1"/>
  <c r="L47" i="7" s="1"/>
  <c r="M47" i="7" s="1"/>
  <c r="H41" i="7"/>
  <c r="I41" i="7" s="1"/>
  <c r="J41" i="7" s="1"/>
  <c r="K41" i="7" s="1"/>
  <c r="L41" i="7" s="1"/>
  <c r="M41" i="7" s="1"/>
  <c r="K35" i="7"/>
  <c r="L35" i="7" s="1"/>
  <c r="M35" i="7" s="1"/>
  <c r="H29" i="7"/>
  <c r="H32" i="7" s="1"/>
  <c r="I28" i="7"/>
  <c r="J28" i="7" s="1"/>
  <c r="K28" i="7" s="1"/>
  <c r="L28" i="7" s="1"/>
  <c r="M28" i="7" s="1"/>
  <c r="J27" i="7"/>
  <c r="K27" i="7" s="1"/>
  <c r="H25" i="7"/>
  <c r="I25" i="7" s="1"/>
  <c r="J25" i="7" s="1"/>
  <c r="K25" i="7" s="1"/>
  <c r="L25" i="7" s="1"/>
  <c r="M25" i="7" s="1"/>
  <c r="I73" i="4"/>
  <c r="H73" i="4"/>
  <c r="J73" i="4" s="1"/>
  <c r="K73" i="4" s="1"/>
  <c r="L73" i="4" s="1"/>
  <c r="M73" i="4" s="1"/>
  <c r="M11" i="7"/>
  <c r="M15" i="7" s="1"/>
  <c r="M19" i="7" s="1"/>
  <c r="M20" i="7" s="1"/>
  <c r="L11" i="7"/>
  <c r="L15" i="7" s="1"/>
  <c r="L19" i="7" s="1"/>
  <c r="L20" i="7" s="1"/>
  <c r="K11" i="7"/>
  <c r="K15" i="7" s="1"/>
  <c r="K19" i="7" s="1"/>
  <c r="K20" i="7" s="1"/>
  <c r="J11" i="7"/>
  <c r="J15" i="7" s="1"/>
  <c r="J19" i="7" s="1"/>
  <c r="J20" i="7" s="1"/>
  <c r="I11" i="7"/>
  <c r="I15" i="7" s="1"/>
  <c r="I19" i="7" s="1"/>
  <c r="I20" i="7" s="1"/>
  <c r="G11" i="7"/>
  <c r="G15" i="7" s="1"/>
  <c r="G19" i="7" s="1"/>
  <c r="G20" i="7" s="1"/>
  <c r="H10" i="7"/>
  <c r="H11" i="7" s="1"/>
  <c r="H15" i="7" s="1"/>
  <c r="H19" i="7" s="1"/>
  <c r="H20" i="7" s="1"/>
  <c r="H7" i="7"/>
  <c r="I7" i="7" s="1"/>
  <c r="J7" i="7" s="1"/>
  <c r="K7" i="7" s="1"/>
  <c r="L7" i="7" s="1"/>
  <c r="G61" i="4"/>
  <c r="P58" i="4"/>
  <c r="H67" i="4"/>
  <c r="I67" i="4" s="1"/>
  <c r="J67" i="4" s="1"/>
  <c r="J53" i="4"/>
  <c r="K53" i="4" s="1"/>
  <c r="L53" i="4" s="1"/>
  <c r="M53" i="4" s="1"/>
  <c r="H54" i="2"/>
  <c r="I54" i="2"/>
  <c r="J54" i="2"/>
  <c r="K54" i="2"/>
  <c r="L54" i="2"/>
  <c r="M54" i="2"/>
  <c r="G54" i="2"/>
  <c r="I54" i="4"/>
  <c r="I55" i="4" s="1"/>
  <c r="I58" i="4" s="1"/>
  <c r="G93" i="2"/>
  <c r="G91" i="2"/>
  <c r="H88" i="2"/>
  <c r="I88" i="2" s="1"/>
  <c r="J88" i="2" s="1"/>
  <c r="G86" i="2"/>
  <c r="G85" i="2"/>
  <c r="I12" i="7" l="1"/>
  <c r="H33" i="7"/>
  <c r="I29" i="7"/>
  <c r="I32" i="7" s="1"/>
  <c r="H31" i="7"/>
  <c r="M16" i="7"/>
  <c r="L16" i="7"/>
  <c r="I31" i="7"/>
  <c r="K16" i="7"/>
  <c r="J16" i="7"/>
  <c r="H12" i="7"/>
  <c r="G16" i="7"/>
  <c r="I33" i="7"/>
  <c r="I39" i="7" s="1"/>
  <c r="I45" i="7" s="1"/>
  <c r="G12" i="7"/>
  <c r="I16" i="7"/>
  <c r="M12" i="7"/>
  <c r="H16" i="7"/>
  <c r="L12" i="7"/>
  <c r="K12" i="7"/>
  <c r="J12" i="7"/>
  <c r="I38" i="7"/>
  <c r="I44" i="7" s="1"/>
  <c r="I50" i="7" s="1"/>
  <c r="H37" i="7"/>
  <c r="H43" i="7" s="1"/>
  <c r="H39" i="7"/>
  <c r="H45" i="7" s="1"/>
  <c r="H51" i="7" s="1"/>
  <c r="I37" i="7"/>
  <c r="I43" i="7" s="1"/>
  <c r="G31" i="7"/>
  <c r="G37" i="7" s="1"/>
  <c r="G43" i="7" s="1"/>
  <c r="G49" i="7" s="1"/>
  <c r="G33" i="7"/>
  <c r="G39" i="7" s="1"/>
  <c r="G45" i="7" s="1"/>
  <c r="G51" i="7" s="1"/>
  <c r="K29" i="7"/>
  <c r="L27" i="7"/>
  <c r="H38" i="7"/>
  <c r="H44" i="7" s="1"/>
  <c r="H50" i="7" s="1"/>
  <c r="G32" i="7"/>
  <c r="G38" i="7" s="1"/>
  <c r="G44" i="7" s="1"/>
  <c r="G50" i="7" s="1"/>
  <c r="J29" i="7"/>
  <c r="K67" i="4"/>
  <c r="L67" i="4" s="1"/>
  <c r="M67" i="4" s="1"/>
  <c r="I57" i="4"/>
  <c r="I59" i="4"/>
  <c r="J54" i="4"/>
  <c r="K54" i="4" s="1"/>
  <c r="L54" i="4" s="1"/>
  <c r="M54" i="4" s="1"/>
  <c r="H90" i="2"/>
  <c r="H89" i="2"/>
  <c r="H49" i="7" l="1"/>
  <c r="H53" i="7"/>
  <c r="I49" i="7"/>
  <c r="I53" i="7"/>
  <c r="I51" i="7"/>
  <c r="I60" i="7"/>
  <c r="I64" i="7" s="1"/>
  <c r="J33" i="7"/>
  <c r="J39" i="7" s="1"/>
  <c r="J45" i="7" s="1"/>
  <c r="J51" i="7" s="1"/>
  <c r="J32" i="7"/>
  <c r="J38" i="7" s="1"/>
  <c r="J44" i="7" s="1"/>
  <c r="J50" i="7" s="1"/>
  <c r="J31" i="7"/>
  <c r="J37" i="7" s="1"/>
  <c r="J43" i="7" s="1"/>
  <c r="H60" i="7"/>
  <c r="H64" i="7" s="1"/>
  <c r="G64" i="7"/>
  <c r="L29" i="7"/>
  <c r="M27" i="7"/>
  <c r="M29" i="7" s="1"/>
  <c r="K32" i="7"/>
  <c r="K38" i="7" s="1"/>
  <c r="K44" i="7" s="1"/>
  <c r="K50" i="7" s="1"/>
  <c r="K33" i="7"/>
  <c r="K39" i="7" s="1"/>
  <c r="K45" i="7" s="1"/>
  <c r="K51" i="7" s="1"/>
  <c r="K31" i="7"/>
  <c r="K37" i="7" s="1"/>
  <c r="K43" i="7" s="1"/>
  <c r="J55" i="4"/>
  <c r="K55" i="4"/>
  <c r="H91" i="2"/>
  <c r="H93" i="2" s="1"/>
  <c r="H51" i="4"/>
  <c r="I51" i="4" s="1"/>
  <c r="J51" i="4" s="1"/>
  <c r="K51" i="4" s="1"/>
  <c r="L51" i="4" s="1"/>
  <c r="M51" i="4" s="1"/>
  <c r="H41" i="4"/>
  <c r="I41" i="4" s="1"/>
  <c r="J41" i="4" s="1"/>
  <c r="K41" i="4" s="1"/>
  <c r="L41" i="4" s="1"/>
  <c r="H31" i="4"/>
  <c r="H34" i="4" s="1"/>
  <c r="I31" i="4"/>
  <c r="I34" i="4" s="1"/>
  <c r="J31" i="4"/>
  <c r="J34" i="4" s="1"/>
  <c r="K31" i="4"/>
  <c r="K34" i="4" s="1"/>
  <c r="L31" i="4"/>
  <c r="M31" i="4"/>
  <c r="M34" i="4" s="1"/>
  <c r="G31" i="4"/>
  <c r="G34" i="4" s="1"/>
  <c r="H29" i="4"/>
  <c r="I29" i="4" s="1"/>
  <c r="J29" i="4" s="1"/>
  <c r="K29" i="4" s="1"/>
  <c r="L29" i="4" s="1"/>
  <c r="M11" i="4"/>
  <c r="L11" i="4"/>
  <c r="K11" i="4"/>
  <c r="J11" i="4"/>
  <c r="J14" i="4" s="1"/>
  <c r="I11" i="4"/>
  <c r="I14" i="4" s="1"/>
  <c r="I43" i="4" s="1"/>
  <c r="I45" i="4" s="1"/>
  <c r="G11" i="4"/>
  <c r="H10" i="4"/>
  <c r="H11" i="4" s="1"/>
  <c r="H14" i="4" s="1"/>
  <c r="H43" i="4" s="1"/>
  <c r="H45" i="4" s="1"/>
  <c r="H46" i="4" s="1"/>
  <c r="H7" i="4"/>
  <c r="I7" i="4" s="1"/>
  <c r="J7" i="4" s="1"/>
  <c r="K7" i="4" s="1"/>
  <c r="L7" i="4" s="1"/>
  <c r="H58" i="2"/>
  <c r="I58" i="2"/>
  <c r="J58" i="2"/>
  <c r="K58" i="2"/>
  <c r="L58" i="2"/>
  <c r="M58" i="2"/>
  <c r="H59" i="2"/>
  <c r="I59" i="2"/>
  <c r="I60" i="2" s="1"/>
  <c r="J59" i="2"/>
  <c r="K59" i="2"/>
  <c r="K60" i="2" s="1"/>
  <c r="L59" i="2"/>
  <c r="L60" i="2" s="1"/>
  <c r="M59" i="2"/>
  <c r="G59" i="2"/>
  <c r="G58" i="2"/>
  <c r="I50" i="2"/>
  <c r="M40" i="2"/>
  <c r="M31" i="2"/>
  <c r="L31" i="2"/>
  <c r="K31" i="2"/>
  <c r="J31" i="2"/>
  <c r="I31" i="2"/>
  <c r="H31" i="2"/>
  <c r="G31" i="2"/>
  <c r="G69" i="2" s="1"/>
  <c r="G70" i="2" s="1"/>
  <c r="M13" i="2"/>
  <c r="L13" i="2"/>
  <c r="L39" i="2" s="1"/>
  <c r="K13" i="2"/>
  <c r="K38" i="2" s="1"/>
  <c r="J13" i="2"/>
  <c r="J38" i="2" s="1"/>
  <c r="H13" i="2"/>
  <c r="H39" i="2" s="1"/>
  <c r="G13" i="2"/>
  <c r="G39" i="2" s="1"/>
  <c r="M78" i="1"/>
  <c r="M60" i="1"/>
  <c r="M45" i="2"/>
  <c r="M46" i="2"/>
  <c r="M47" i="2"/>
  <c r="M48" i="2"/>
  <c r="M49" i="2"/>
  <c r="M50" i="2"/>
  <c r="H45" i="2"/>
  <c r="I45" i="2"/>
  <c r="J45" i="2"/>
  <c r="K45" i="2"/>
  <c r="L45" i="2"/>
  <c r="H46" i="2"/>
  <c r="I46" i="2"/>
  <c r="J46" i="2"/>
  <c r="K46" i="2"/>
  <c r="L46" i="2"/>
  <c r="H47" i="2"/>
  <c r="I47" i="2"/>
  <c r="J47" i="2"/>
  <c r="K47" i="2"/>
  <c r="L47" i="2"/>
  <c r="H48" i="2"/>
  <c r="I48" i="2"/>
  <c r="J48" i="2"/>
  <c r="K48" i="2"/>
  <c r="L48" i="2"/>
  <c r="H49" i="2"/>
  <c r="I49" i="2"/>
  <c r="J49" i="2"/>
  <c r="K49" i="2"/>
  <c r="L49" i="2"/>
  <c r="G50" i="2"/>
  <c r="H50" i="2"/>
  <c r="J50" i="2"/>
  <c r="K50" i="2"/>
  <c r="L50" i="2"/>
  <c r="G49" i="2"/>
  <c r="G48" i="2"/>
  <c r="G47" i="2"/>
  <c r="G46" i="2"/>
  <c r="G45" i="2"/>
  <c r="I38" i="2"/>
  <c r="I39" i="2"/>
  <c r="G40" i="2"/>
  <c r="H40" i="2"/>
  <c r="I40" i="2"/>
  <c r="J40" i="2"/>
  <c r="K40" i="2"/>
  <c r="L40" i="2"/>
  <c r="K49" i="7" l="1"/>
  <c r="K53" i="7"/>
  <c r="J49" i="7"/>
  <c r="J53" i="7"/>
  <c r="J60" i="7"/>
  <c r="J64" i="7" s="1"/>
  <c r="K60" i="7"/>
  <c r="K64" i="7" s="1"/>
  <c r="M32" i="7"/>
  <c r="M38" i="7" s="1"/>
  <c r="M44" i="7" s="1"/>
  <c r="M50" i="7" s="1"/>
  <c r="M33" i="7"/>
  <c r="M39" i="7" s="1"/>
  <c r="M45" i="7" s="1"/>
  <c r="M51" i="7" s="1"/>
  <c r="M31" i="7"/>
  <c r="M37" i="7" s="1"/>
  <c r="M43" i="7" s="1"/>
  <c r="L32" i="7"/>
  <c r="L38" i="7" s="1"/>
  <c r="L44" i="7" s="1"/>
  <c r="L50" i="7" s="1"/>
  <c r="L33" i="7"/>
  <c r="L39" i="7" s="1"/>
  <c r="L45" i="7" s="1"/>
  <c r="L51" i="7" s="1"/>
  <c r="L31" i="7"/>
  <c r="L37" i="7" s="1"/>
  <c r="L43" i="7" s="1"/>
  <c r="K58" i="4"/>
  <c r="K57" i="4"/>
  <c r="K59" i="4"/>
  <c r="J58" i="4"/>
  <c r="J57" i="4"/>
  <c r="J59" i="4"/>
  <c r="I46" i="4"/>
  <c r="L33" i="4"/>
  <c r="K33" i="4"/>
  <c r="M33" i="4"/>
  <c r="I89" i="2"/>
  <c r="I90" i="2"/>
  <c r="G60" i="2"/>
  <c r="L55" i="4"/>
  <c r="M55" i="4"/>
  <c r="I33" i="4"/>
  <c r="H35" i="4"/>
  <c r="G53" i="4"/>
  <c r="L34" i="4"/>
  <c r="J35" i="4"/>
  <c r="J43" i="4"/>
  <c r="J45" i="4" s="1"/>
  <c r="J46" i="4" s="1"/>
  <c r="G14" i="4"/>
  <c r="G17" i="4" s="1"/>
  <c r="G36" i="4" s="1"/>
  <c r="G33" i="4"/>
  <c r="H60" i="2"/>
  <c r="J60" i="2"/>
  <c r="M69" i="2"/>
  <c r="M70" i="2" s="1"/>
  <c r="M72" i="2"/>
  <c r="M73" i="2" s="1"/>
  <c r="L69" i="2"/>
  <c r="L70" i="2" s="1"/>
  <c r="L72" i="2"/>
  <c r="L73" i="2" s="1"/>
  <c r="K69" i="2"/>
  <c r="K70" i="2" s="1"/>
  <c r="K72" i="2"/>
  <c r="K73" i="2" s="1"/>
  <c r="J69" i="2"/>
  <c r="J70" i="2" s="1"/>
  <c r="J72" i="2"/>
  <c r="J73" i="2" s="1"/>
  <c r="I69" i="2"/>
  <c r="I70" i="2" s="1"/>
  <c r="I72" i="2"/>
  <c r="I73" i="2" s="1"/>
  <c r="H69" i="2"/>
  <c r="H70" i="2" s="1"/>
  <c r="H72" i="2"/>
  <c r="H73" i="2" s="1"/>
  <c r="M38" i="2"/>
  <c r="M39" i="2"/>
  <c r="K14" i="4"/>
  <c r="K43" i="4" s="1"/>
  <c r="K45" i="4" s="1"/>
  <c r="K46" i="4" s="1"/>
  <c r="I35" i="4"/>
  <c r="L14" i="4"/>
  <c r="L43" i="4" s="1"/>
  <c r="L45" i="4" s="1"/>
  <c r="L46" i="4" s="1"/>
  <c r="M14" i="4"/>
  <c r="M43" i="4" s="1"/>
  <c r="M45" i="4" s="1"/>
  <c r="M46" i="4" s="1"/>
  <c r="J33" i="4"/>
  <c r="H33" i="4"/>
  <c r="H21" i="4"/>
  <c r="H24" i="4" s="1"/>
  <c r="H17" i="4"/>
  <c r="H36" i="4" s="1"/>
  <c r="G21" i="4"/>
  <c r="G24" i="4" s="1"/>
  <c r="I17" i="4"/>
  <c r="I36" i="4" s="1"/>
  <c r="I21" i="4"/>
  <c r="I24" i="4" s="1"/>
  <c r="J17" i="4"/>
  <c r="J36" i="4" s="1"/>
  <c r="J21" i="4"/>
  <c r="J24" i="4" s="1"/>
  <c r="G72" i="2"/>
  <c r="G73" i="2" s="1"/>
  <c r="M60" i="2"/>
  <c r="H38" i="2"/>
  <c r="G52" i="2"/>
  <c r="G53" i="2" s="1"/>
  <c r="G38" i="2"/>
  <c r="K39" i="2"/>
  <c r="J39" i="2"/>
  <c r="M52" i="2"/>
  <c r="M53" i="2" s="1"/>
  <c r="H61" i="4" s="1"/>
  <c r="I61" i="4" s="1"/>
  <c r="I52" i="2"/>
  <c r="I53" i="2" s="1"/>
  <c r="H52" i="2"/>
  <c r="H53" i="2" s="1"/>
  <c r="K52" i="2"/>
  <c r="K53" i="2" s="1"/>
  <c r="L52" i="2"/>
  <c r="L53" i="2" s="1"/>
  <c r="J52" i="2"/>
  <c r="J53" i="2" s="1"/>
  <c r="L38" i="2"/>
  <c r="M11" i="1"/>
  <c r="M14" i="1" s="1"/>
  <c r="L49" i="7" l="1"/>
  <c r="L53" i="7"/>
  <c r="M49" i="7"/>
  <c r="M53" i="7"/>
  <c r="M60" i="7"/>
  <c r="M64" i="7" s="1"/>
  <c r="L60" i="7"/>
  <c r="L64" i="7" s="1"/>
  <c r="I65" i="4"/>
  <c r="I71" i="4" s="1"/>
  <c r="I77" i="4" s="1"/>
  <c r="M57" i="4"/>
  <c r="M59" i="4"/>
  <c r="M58" i="4"/>
  <c r="L59" i="4"/>
  <c r="L58" i="4"/>
  <c r="L57" i="4"/>
  <c r="M21" i="4"/>
  <c r="M24" i="4" s="1"/>
  <c r="L21" i="4"/>
  <c r="L24" i="4" s="1"/>
  <c r="I63" i="4"/>
  <c r="I64" i="4"/>
  <c r="I70" i="4" s="1"/>
  <c r="I76" i="4" s="1"/>
  <c r="I91" i="2"/>
  <c r="G35" i="4"/>
  <c r="G43" i="4"/>
  <c r="G45" i="4" s="1"/>
  <c r="G46" i="4" s="1"/>
  <c r="K17" i="4"/>
  <c r="K36" i="4" s="1"/>
  <c r="K35" i="4"/>
  <c r="K21" i="4"/>
  <c r="K24" i="4" s="1"/>
  <c r="M17" i="4"/>
  <c r="M36" i="4" s="1"/>
  <c r="M35" i="4"/>
  <c r="L17" i="4"/>
  <c r="L36" i="4" s="1"/>
  <c r="L35" i="4"/>
  <c r="G54" i="4" s="1"/>
  <c r="G55" i="4" s="1"/>
  <c r="M21" i="1"/>
  <c r="M24" i="1" s="1"/>
  <c r="M17" i="1"/>
  <c r="H78" i="1"/>
  <c r="G78" i="1"/>
  <c r="H60" i="1"/>
  <c r="I78" i="1"/>
  <c r="J60" i="1"/>
  <c r="J78" i="1" s="1"/>
  <c r="K60" i="1"/>
  <c r="K78" i="1" s="1"/>
  <c r="L60" i="1"/>
  <c r="L78" i="1" s="1"/>
  <c r="G60" i="1"/>
  <c r="H51" i="1"/>
  <c r="I51" i="1" s="1"/>
  <c r="J51" i="1" s="1"/>
  <c r="K51" i="1" s="1"/>
  <c r="L51" i="1" s="1"/>
  <c r="H39" i="1"/>
  <c r="I39" i="1"/>
  <c r="J39" i="1"/>
  <c r="K39" i="1"/>
  <c r="L39" i="1"/>
  <c r="G39" i="1"/>
  <c r="H34" i="1"/>
  <c r="I34" i="1"/>
  <c r="J34" i="1"/>
  <c r="K34" i="1"/>
  <c r="L34" i="1"/>
  <c r="G34" i="1"/>
  <c r="H29" i="1"/>
  <c r="I29" i="1" s="1"/>
  <c r="J29" i="1" s="1"/>
  <c r="K29" i="1" s="1"/>
  <c r="L29" i="1" s="1"/>
  <c r="H10" i="1"/>
  <c r="H11" i="1" s="1"/>
  <c r="H14" i="1" s="1"/>
  <c r="H17" i="1" s="1"/>
  <c r="H56" i="2" s="1"/>
  <c r="L11" i="1"/>
  <c r="L14" i="1" s="1"/>
  <c r="L17" i="1" s="1"/>
  <c r="L56" i="2" s="1"/>
  <c r="G11" i="1"/>
  <c r="G14" i="1" s="1"/>
  <c r="G17" i="1" s="1"/>
  <c r="G56" i="2" s="1"/>
  <c r="I11" i="1"/>
  <c r="I14" i="1" s="1"/>
  <c r="I17" i="1" s="1"/>
  <c r="I56" i="2" s="1"/>
  <c r="J11" i="1"/>
  <c r="J14" i="1" s="1"/>
  <c r="J17" i="1" s="1"/>
  <c r="J56" i="2" s="1"/>
  <c r="K11" i="1"/>
  <c r="K14" i="1" s="1"/>
  <c r="K17" i="1" s="1"/>
  <c r="K56" i="2" s="1"/>
  <c r="H7" i="1"/>
  <c r="I7" i="1" s="1"/>
  <c r="J7" i="1" s="1"/>
  <c r="K7" i="1" s="1"/>
  <c r="L7" i="1" s="1"/>
  <c r="G57" i="4" l="1"/>
  <c r="G63" i="4" s="1"/>
  <c r="G58" i="4"/>
  <c r="G59" i="4"/>
  <c r="G65" i="4" s="1"/>
  <c r="G71" i="4" s="1"/>
  <c r="G77" i="4" s="1"/>
  <c r="K61" i="4"/>
  <c r="K64" i="4" s="1"/>
  <c r="K70" i="4" s="1"/>
  <c r="K76" i="4" s="1"/>
  <c r="J65" i="4"/>
  <c r="J71" i="4" s="1"/>
  <c r="J77" i="4" s="1"/>
  <c r="J64" i="4"/>
  <c r="J70" i="4" s="1"/>
  <c r="J76" i="4" s="1"/>
  <c r="J63" i="4"/>
  <c r="I93" i="2"/>
  <c r="J89" i="2"/>
  <c r="J90" i="2"/>
  <c r="I69" i="4"/>
  <c r="I79" i="4" s="1"/>
  <c r="I83" i="4" s="1"/>
  <c r="L21" i="1"/>
  <c r="L24" i="1" s="1"/>
  <c r="L31" i="1" s="1"/>
  <c r="K21" i="1"/>
  <c r="K24" i="1" s="1"/>
  <c r="K31" i="1" s="1"/>
  <c r="J21" i="1"/>
  <c r="J24" i="1" s="1"/>
  <c r="J31" i="1" s="1"/>
  <c r="I21" i="1"/>
  <c r="I24" i="1" s="1"/>
  <c r="I31" i="1" s="1"/>
  <c r="H21" i="1"/>
  <c r="H24" i="1" s="1"/>
  <c r="H31" i="1" s="1"/>
  <c r="G21" i="1"/>
  <c r="G24" i="1" s="1"/>
  <c r="G31" i="1" s="1"/>
  <c r="I75" i="4" l="1"/>
  <c r="L61" i="4"/>
  <c r="K65" i="4"/>
  <c r="K71" i="4" s="1"/>
  <c r="K77" i="4" s="1"/>
  <c r="K63" i="4"/>
  <c r="G69" i="4"/>
  <c r="G64" i="4"/>
  <c r="G70" i="4" s="1"/>
  <c r="G76" i="4" s="1"/>
  <c r="J91" i="2"/>
  <c r="J93" i="2" s="1"/>
  <c r="J69" i="4"/>
  <c r="J79" i="4" s="1"/>
  <c r="J83" i="4" s="1"/>
  <c r="H55" i="4"/>
  <c r="G75" i="4" l="1"/>
  <c r="G79" i="4"/>
  <c r="G83" i="4" s="1"/>
  <c r="J75" i="4"/>
  <c r="H58" i="4"/>
  <c r="H57" i="4"/>
  <c r="H63" i="4" s="1"/>
  <c r="H59" i="4"/>
  <c r="H65" i="4" s="1"/>
  <c r="H71" i="4" s="1"/>
  <c r="H77" i="4" s="1"/>
  <c r="M61" i="4"/>
  <c r="L65" i="4"/>
  <c r="L71" i="4" s="1"/>
  <c r="L77" i="4" s="1"/>
  <c r="L64" i="4"/>
  <c r="L70" i="4" s="1"/>
  <c r="L76" i="4" s="1"/>
  <c r="L63" i="4"/>
  <c r="K69" i="4"/>
  <c r="K79" i="4" s="1"/>
  <c r="K83" i="4" s="1"/>
  <c r="K75" i="4" l="1"/>
  <c r="M65" i="4"/>
  <c r="M71" i="4" s="1"/>
  <c r="M77" i="4" s="1"/>
  <c r="M63" i="4"/>
  <c r="M69" i="4" s="1"/>
  <c r="M64" i="4"/>
  <c r="M70" i="4" s="1"/>
  <c r="M76" i="4" s="1"/>
  <c r="H69" i="4"/>
  <c r="H64" i="4"/>
  <c r="H70" i="4" s="1"/>
  <c r="H76" i="4" s="1"/>
  <c r="L69" i="4"/>
  <c r="L79" i="4" s="1"/>
  <c r="L83" i="4" s="1"/>
  <c r="H79" i="4" l="1"/>
  <c r="H83" i="4" s="1"/>
  <c r="M79" i="4"/>
  <c r="M83" i="4" s="1"/>
  <c r="H75" i="4"/>
  <c r="L75" i="4"/>
  <c r="M75" i="4"/>
</calcChain>
</file>

<file path=xl/sharedStrings.xml><?xml version="1.0" encoding="utf-8"?>
<sst xmlns="http://schemas.openxmlformats.org/spreadsheetml/2006/main" count="230" uniqueCount="124">
  <si>
    <t>Income Statement</t>
  </si>
  <si>
    <t>In thousands</t>
  </si>
  <si>
    <t xml:space="preserve"> </t>
  </si>
  <si>
    <t xml:space="preserve">Motorcar Parts of America, Inc. </t>
  </si>
  <si>
    <t>Revenue</t>
  </si>
  <si>
    <t>COGS</t>
  </si>
  <si>
    <t>Gross Profit</t>
  </si>
  <si>
    <t>Total Operating Expense</t>
  </si>
  <si>
    <t>Depreciation</t>
  </si>
  <si>
    <t>EBITDA</t>
  </si>
  <si>
    <t>EBT</t>
  </si>
  <si>
    <t>Taxes</t>
  </si>
  <si>
    <t>Net Income</t>
  </si>
  <si>
    <t>Cash Flow</t>
  </si>
  <si>
    <t>CFO</t>
  </si>
  <si>
    <t>Change in Working Capital</t>
  </si>
  <si>
    <t>CFO Before Change in WC</t>
  </si>
  <si>
    <t>Capex</t>
  </si>
  <si>
    <t>CFI</t>
  </si>
  <si>
    <t>FCF</t>
  </si>
  <si>
    <t>CFF</t>
  </si>
  <si>
    <t>Net Debt Issuance / Repayment</t>
  </si>
  <si>
    <t>Share Repurchases</t>
  </si>
  <si>
    <t>Net Change in Cash</t>
  </si>
  <si>
    <t>Balance Sheet</t>
  </si>
  <si>
    <t>Cash &amp; Cash Equivalent</t>
  </si>
  <si>
    <t>Short-Term Investments</t>
  </si>
  <si>
    <t>Accounts Receivable</t>
  </si>
  <si>
    <t>Inventory</t>
  </si>
  <si>
    <t>Inventory Unreturned</t>
  </si>
  <si>
    <t>Contract Assets - Current</t>
  </si>
  <si>
    <t>Other Current Assets</t>
  </si>
  <si>
    <t>Total Current Assets</t>
  </si>
  <si>
    <t>PP&amp;E, Net</t>
  </si>
  <si>
    <t>Contract Assets - Long Term</t>
  </si>
  <si>
    <t>Goodwill &amp; Intangibles</t>
  </si>
  <si>
    <t>Total Assets</t>
  </si>
  <si>
    <t>AP &amp; Accrued Liabilities</t>
  </si>
  <si>
    <t>Customer Returns Accrued</t>
  </si>
  <si>
    <t>Contract Liabilities - Current</t>
  </si>
  <si>
    <t>Revolving Loan</t>
  </si>
  <si>
    <t>Current Term Debt</t>
  </si>
  <si>
    <t>Total Current Liabilities</t>
  </si>
  <si>
    <t>Long Term Debt</t>
  </si>
  <si>
    <t>Convertible Notes</t>
  </si>
  <si>
    <t>Contract Liabilities - Long Term</t>
  </si>
  <si>
    <t>Operating Lease Liabilities</t>
  </si>
  <si>
    <t>Total Debt</t>
  </si>
  <si>
    <t>Total Liabilities</t>
  </si>
  <si>
    <t>Shareholder's Equity</t>
  </si>
  <si>
    <t>Working Capital</t>
  </si>
  <si>
    <t>Current Ratio</t>
  </si>
  <si>
    <t>Quick Ratio</t>
  </si>
  <si>
    <t>Net Working Capital</t>
  </si>
  <si>
    <t>Net Debt</t>
  </si>
  <si>
    <t>EBITDA Margin</t>
  </si>
  <si>
    <t>EBIT</t>
  </si>
  <si>
    <t>Q1 2027</t>
  </si>
  <si>
    <t>Net Debt / EBITDA</t>
  </si>
  <si>
    <t>Liquidity, Capital</t>
  </si>
  <si>
    <t>Net Debt:</t>
  </si>
  <si>
    <t>Financial Lease Liabilities</t>
  </si>
  <si>
    <t>Total Debt &amp; Leases</t>
  </si>
  <si>
    <t>Interest Expense</t>
  </si>
  <si>
    <t>Total Other Expenses</t>
  </si>
  <si>
    <t>EBIT / Interest Expense</t>
  </si>
  <si>
    <t>Operating Profit</t>
  </si>
  <si>
    <t>Book Value</t>
  </si>
  <si>
    <t>Tangible Book Value</t>
  </si>
  <si>
    <t>Book Value per Share</t>
  </si>
  <si>
    <t>Tangible Book Value Per Share</t>
  </si>
  <si>
    <t>Shares Outstanding</t>
  </si>
  <si>
    <t>Asset Quality &amp; Book Value</t>
  </si>
  <si>
    <t>Profitability and Margins</t>
  </si>
  <si>
    <t>Operating Margin</t>
  </si>
  <si>
    <t>Gross Margin</t>
  </si>
  <si>
    <t>Operating Expense (% of Revenue)</t>
  </si>
  <si>
    <t>FX Impact</t>
  </si>
  <si>
    <t>EBIT (ex -FX)</t>
  </si>
  <si>
    <t>EBIT Margin (ex-FX)</t>
  </si>
  <si>
    <t>Adjusted EBIT</t>
  </si>
  <si>
    <t>Operating Margins</t>
  </si>
  <si>
    <t>Operating Income</t>
  </si>
  <si>
    <t>Debt and Capital Structure</t>
  </si>
  <si>
    <t>Revolver</t>
  </si>
  <si>
    <t>Cash</t>
  </si>
  <si>
    <t>Funded Net Debt</t>
  </si>
  <si>
    <t>Lease-Adjusted Net Debt</t>
  </si>
  <si>
    <t>Convertible Principle</t>
  </si>
  <si>
    <t>Finance Leases</t>
  </si>
  <si>
    <t>Operating Leases</t>
  </si>
  <si>
    <t>Convertible Note</t>
  </si>
  <si>
    <t>Beginning Principal</t>
  </si>
  <si>
    <t>PIK interest 10%</t>
  </si>
  <si>
    <t>Ending Balance</t>
  </si>
  <si>
    <t>Conversion Price</t>
  </si>
  <si>
    <t>Shares Upon Conversion</t>
  </si>
  <si>
    <t>Net Funded Debt</t>
  </si>
  <si>
    <t>Enterprise Value (7.5x EBIT)</t>
  </si>
  <si>
    <t>Enterprise Value (10x EBIT)</t>
  </si>
  <si>
    <t>Equity Value (10x EBIT)</t>
  </si>
  <si>
    <t>Equity Value (7.5x EBIT)</t>
  </si>
  <si>
    <t>Enterprise Value (5x EBIT)</t>
  </si>
  <si>
    <t>Equity Value (5x EBIT)</t>
  </si>
  <si>
    <t>Per Share (10x EBIT)</t>
  </si>
  <si>
    <t>Per Share (7.5x EBIT)</t>
  </si>
  <si>
    <t>Per Share (5x EBIT)</t>
  </si>
  <si>
    <t>Current Share Price</t>
  </si>
  <si>
    <t>Margin of Safety (10x)</t>
  </si>
  <si>
    <t>Margin of Safety (7.5x)</t>
  </si>
  <si>
    <t>Margin of Safety (5x)</t>
  </si>
  <si>
    <t>Valuation</t>
  </si>
  <si>
    <t>Epected Value of Multiples - Bear (6% EBIT Margin)</t>
  </si>
  <si>
    <t>Epected Value of Multiples - Base (8% EBIT Margin)</t>
  </si>
  <si>
    <t>Epected Value of Multiples - Bull (11% EBIT Margin)</t>
  </si>
  <si>
    <t>Overall EV</t>
  </si>
  <si>
    <t>EBIT Margin</t>
  </si>
  <si>
    <t>Gross Profit Margin</t>
  </si>
  <si>
    <t>Margins and Income</t>
  </si>
  <si>
    <t>Expected Value of Shares</t>
  </si>
  <si>
    <t>Expected Value of Shares - Base (8% EBIT Margin)</t>
  </si>
  <si>
    <t>Expected Value of Shares - Bear (6% EBIT Margin)</t>
  </si>
  <si>
    <t>Expected Value of Shares - Bull (10% EBIT Margin)</t>
  </si>
  <si>
    <t>10% Operating Margin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</si>
</sst>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#\A"/>
    <numFmt numFmtId="165" formatCode="0.00\x"/>
    <numFmt numFmtId="166" formatCode="0.0%"/>
    <numFmt numFmtId="167" formatCode="0000&quot;E&quot;"/>
    <numFmt numFmtId="168" formatCode="0000\A"/>
    <numFmt numFmtId="169" formatCode="0000\E"/>
    <numFmt numFmtId="170" formatCode="00.00"/>
  </numFmts>
  <fonts count="12" x14ac:knownFonts="1">
    <font>
      <sz val="10"/>
      <color theme="1"/>
      <name val="Aptos Narrow"/>
      <family val="2"/>
      <scheme val="minor"/>
    </font>
    <font>
      <sz val="20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3" tint="0.49998474074526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3" tint="0.499984740745262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01E3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3" tint="0.499984740745262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1" xfId="0" applyNumberFormat="1" applyFont="1" applyBorder="1"/>
    <xf numFmtId="0" fontId="6" fillId="0" borderId="0" xfId="0" applyFont="1"/>
    <xf numFmtId="37" fontId="5" fillId="0" borderId="0" xfId="0" applyNumberFormat="1" applyFont="1"/>
    <xf numFmtId="37" fontId="5" fillId="0" borderId="1" xfId="0" applyNumberFormat="1" applyFont="1" applyBorder="1"/>
    <xf numFmtId="37" fontId="6" fillId="0" borderId="0" xfId="0" applyNumberFormat="1" applyFont="1"/>
    <xf numFmtId="37" fontId="3" fillId="0" borderId="0" xfId="0" applyNumberFormat="1" applyFont="1"/>
    <xf numFmtId="37" fontId="7" fillId="0" borderId="1" xfId="0" applyNumberFormat="1" applyFont="1" applyBorder="1"/>
    <xf numFmtId="37" fontId="8" fillId="0" borderId="0" xfId="0" applyNumberFormat="1" applyFont="1"/>
    <xf numFmtId="165" fontId="3" fillId="0" borderId="0" xfId="0" applyNumberFormat="1" applyFont="1"/>
    <xf numFmtId="166" fontId="3" fillId="0" borderId="0" xfId="1" applyNumberFormat="1" applyFont="1"/>
    <xf numFmtId="0" fontId="3" fillId="0" borderId="0" xfId="0" applyFont="1" applyAlignment="1">
      <alignment horizontal="left" indent="2"/>
    </xf>
    <xf numFmtId="164" fontId="3" fillId="0" borderId="1" xfId="0" applyNumberFormat="1" applyFont="1" applyBorder="1" applyAlignment="1">
      <alignment horizontal="right"/>
    </xf>
    <xf numFmtId="37" fontId="0" fillId="0" borderId="0" xfId="0" applyNumberFormat="1"/>
    <xf numFmtId="39" fontId="6" fillId="0" borderId="0" xfId="0" applyNumberFormat="1" applyFont="1"/>
    <xf numFmtId="166" fontId="6" fillId="0" borderId="0" xfId="1" applyNumberFormat="1" applyFont="1"/>
    <xf numFmtId="167" fontId="3" fillId="0" borderId="1" xfId="0" applyNumberFormat="1" applyFont="1" applyBorder="1"/>
    <xf numFmtId="166" fontId="3" fillId="0" borderId="0" xfId="0" applyNumberFormat="1" applyFont="1"/>
    <xf numFmtId="166" fontId="5" fillId="0" borderId="0" xfId="0" applyNumberFormat="1" applyFont="1"/>
    <xf numFmtId="0" fontId="10" fillId="0" borderId="0" xfId="0" applyFont="1"/>
    <xf numFmtId="3" fontId="0" fillId="0" borderId="0" xfId="0" applyNumberFormat="1"/>
    <xf numFmtId="3" fontId="10" fillId="0" borderId="0" xfId="0" applyNumberFormat="1" applyFont="1"/>
    <xf numFmtId="0" fontId="3" fillId="0" borderId="0" xfId="0" applyFont="1" applyAlignment="1">
      <alignment horizontal="right"/>
    </xf>
    <xf numFmtId="168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2" fontId="6" fillId="0" borderId="0" xfId="0" applyNumberFormat="1" applyFont="1"/>
    <xf numFmtId="0" fontId="5" fillId="0" borderId="0" xfId="0" applyFont="1"/>
    <xf numFmtId="37" fontId="11" fillId="0" borderId="0" xfId="0" applyNumberFormat="1" applyFont="1"/>
    <xf numFmtId="166" fontId="5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2DC6-D408-4639-A81B-27BD6C82A077}">
  <dimension ref="A2:N78"/>
  <sheetViews>
    <sheetView showGridLines="0" topLeftCell="A23" workbookViewId="0">
      <selection activeCell="F46" sqref="F46"/>
    </sheetView>
  </sheetViews>
  <sheetFormatPr defaultColWidth="9.140625" defaultRowHeight="15.75" x14ac:dyDescent="0.25"/>
  <cols>
    <col min="1" max="6" width="9.140625" style="4"/>
    <col min="7" max="12" width="12.85546875" style="4" customWidth="1"/>
    <col min="13" max="13" width="10.85546875" style="4" bestFit="1" customWidth="1"/>
    <col min="14" max="16384" width="9.140625" style="4"/>
  </cols>
  <sheetData>
    <row r="2" spans="1:14" ht="26.25" x14ac:dyDescent="0.4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</row>
    <row r="5" spans="1:14" ht="26.25" x14ac:dyDescent="0.4">
      <c r="A5" s="4" t="s">
        <v>2</v>
      </c>
      <c r="B5" s="1" t="s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7" spans="1:14" ht="16.5" thickBot="1" x14ac:dyDescent="0.3">
      <c r="B7" s="5" t="s">
        <v>1</v>
      </c>
      <c r="G7" s="6">
        <v>2021</v>
      </c>
      <c r="H7" s="6">
        <f t="shared" ref="H7:L7" si="0">G7+1</f>
        <v>2022</v>
      </c>
      <c r="I7" s="6">
        <f t="shared" si="0"/>
        <v>2023</v>
      </c>
      <c r="J7" s="6">
        <f t="shared" si="0"/>
        <v>2024</v>
      </c>
      <c r="K7" s="6">
        <f t="shared" si="0"/>
        <v>2025</v>
      </c>
      <c r="L7" s="6">
        <f t="shared" si="0"/>
        <v>2026</v>
      </c>
      <c r="M7" s="6" t="s">
        <v>57</v>
      </c>
    </row>
    <row r="9" spans="1:14" x14ac:dyDescent="0.25">
      <c r="B9" s="4" t="s">
        <v>4</v>
      </c>
      <c r="G9" s="8">
        <v>540782</v>
      </c>
      <c r="H9" s="8">
        <v>650308</v>
      </c>
      <c r="I9" s="8">
        <v>683074</v>
      </c>
      <c r="J9" s="8">
        <v>717684</v>
      </c>
      <c r="K9" s="8">
        <v>757354</v>
      </c>
      <c r="L9" s="8">
        <v>789806</v>
      </c>
      <c r="M9" s="8">
        <v>168021</v>
      </c>
    </row>
    <row r="10" spans="1:14" ht="16.5" thickBot="1" x14ac:dyDescent="0.3">
      <c r="B10" s="4" t="s">
        <v>5</v>
      </c>
      <c r="G10" s="9">
        <v>-431321</v>
      </c>
      <c r="H10" s="9">
        <f>-532443</f>
        <v>-532443</v>
      </c>
      <c r="I10" s="9">
        <v>-569112</v>
      </c>
      <c r="J10" s="9">
        <v>-585133</v>
      </c>
      <c r="K10" s="9">
        <v>-603526</v>
      </c>
      <c r="L10" s="9">
        <v>-629905</v>
      </c>
      <c r="M10" s="9">
        <v>-140847</v>
      </c>
    </row>
    <row r="11" spans="1:14" x14ac:dyDescent="0.25">
      <c r="B11" s="7" t="s">
        <v>6</v>
      </c>
      <c r="G11" s="10">
        <f t="shared" ref="G11:L11" si="1">SUM(G9:G10)</f>
        <v>109461</v>
      </c>
      <c r="H11" s="10">
        <f t="shared" si="1"/>
        <v>117865</v>
      </c>
      <c r="I11" s="10">
        <f t="shared" si="1"/>
        <v>113962</v>
      </c>
      <c r="J11" s="10">
        <f t="shared" si="1"/>
        <v>132551</v>
      </c>
      <c r="K11" s="10">
        <f t="shared" si="1"/>
        <v>153828</v>
      </c>
      <c r="L11" s="10">
        <f t="shared" si="1"/>
        <v>159901</v>
      </c>
      <c r="M11" s="10">
        <f t="shared" ref="M11" si="2">SUM(M9:M10)</f>
        <v>27174</v>
      </c>
    </row>
    <row r="13" spans="1:14" ht="16.5" thickBot="1" x14ac:dyDescent="0.3">
      <c r="B13" s="4" t="s">
        <v>7</v>
      </c>
      <c r="G13" s="9">
        <v>-62828</v>
      </c>
      <c r="H13" s="9">
        <v>-89161</v>
      </c>
      <c r="I13" s="9">
        <v>-77516</v>
      </c>
      <c r="J13" s="9">
        <v>-86431</v>
      </c>
      <c r="K13" s="9">
        <v>-113905</v>
      </c>
      <c r="L13" s="9">
        <v>-94066</v>
      </c>
      <c r="M13" s="9">
        <v>-23642</v>
      </c>
    </row>
    <row r="14" spans="1:14" x14ac:dyDescent="0.25">
      <c r="B14" s="7" t="s">
        <v>56</v>
      </c>
      <c r="G14" s="10">
        <f t="shared" ref="G14:L14" si="3">G11+G13</f>
        <v>46633</v>
      </c>
      <c r="H14" s="10">
        <f t="shared" si="3"/>
        <v>28704</v>
      </c>
      <c r="I14" s="10">
        <f t="shared" si="3"/>
        <v>36446</v>
      </c>
      <c r="J14" s="10">
        <f t="shared" si="3"/>
        <v>46120</v>
      </c>
      <c r="K14" s="10">
        <f t="shared" si="3"/>
        <v>39923</v>
      </c>
      <c r="L14" s="10">
        <f t="shared" si="3"/>
        <v>65835</v>
      </c>
      <c r="M14" s="10">
        <f t="shared" ref="M14" si="4">M11+M13</f>
        <v>3532</v>
      </c>
    </row>
    <row r="16" spans="1:14" ht="16.5" thickBot="1" x14ac:dyDescent="0.3">
      <c r="B16" s="4" t="s">
        <v>8</v>
      </c>
      <c r="G16" s="9">
        <v>9573</v>
      </c>
      <c r="H16" s="9">
        <v>11338</v>
      </c>
      <c r="I16" s="9">
        <v>10984</v>
      </c>
      <c r="J16" s="9">
        <v>10544</v>
      </c>
      <c r="K16" s="9">
        <v>9923</v>
      </c>
      <c r="L16" s="9">
        <v>9453</v>
      </c>
      <c r="M16" s="9">
        <v>2742</v>
      </c>
    </row>
    <row r="17" spans="2:14" x14ac:dyDescent="0.25">
      <c r="B17" s="7" t="s">
        <v>9</v>
      </c>
      <c r="G17" s="10">
        <f t="shared" ref="G17:L17" si="5">G16+G14</f>
        <v>56206</v>
      </c>
      <c r="H17" s="10">
        <f t="shared" si="5"/>
        <v>40042</v>
      </c>
      <c r="I17" s="10">
        <f t="shared" si="5"/>
        <v>47430</v>
      </c>
      <c r="J17" s="10">
        <f t="shared" si="5"/>
        <v>56664</v>
      </c>
      <c r="K17" s="10">
        <f t="shared" si="5"/>
        <v>49846</v>
      </c>
      <c r="L17" s="10">
        <f t="shared" si="5"/>
        <v>75288</v>
      </c>
      <c r="M17" s="10">
        <f t="shared" ref="M17" si="6">M16+M14</f>
        <v>6274</v>
      </c>
    </row>
    <row r="19" spans="2:14" x14ac:dyDescent="0.25">
      <c r="B19" s="4" t="s">
        <v>63</v>
      </c>
      <c r="G19" s="8">
        <v>-15770</v>
      </c>
      <c r="H19" s="8">
        <v>-15555</v>
      </c>
      <c r="I19" s="8">
        <v>-39555</v>
      </c>
      <c r="J19" s="8">
        <v>-60040</v>
      </c>
      <c r="K19" s="8">
        <v>-55550</v>
      </c>
      <c r="L19" s="8">
        <v>-46696</v>
      </c>
      <c r="M19" s="8">
        <v>-12044</v>
      </c>
    </row>
    <row r="20" spans="2:14" ht="16.5" thickBot="1" x14ac:dyDescent="0.3">
      <c r="B20" s="4" t="s">
        <v>64</v>
      </c>
      <c r="G20" s="9">
        <v>-15770</v>
      </c>
      <c r="H20" s="9">
        <v>-15555</v>
      </c>
      <c r="I20" s="9">
        <v>-39555</v>
      </c>
      <c r="J20" s="9">
        <v>-59188</v>
      </c>
      <c r="K20" s="9">
        <v>-55610</v>
      </c>
      <c r="L20" s="9">
        <v>-45566</v>
      </c>
      <c r="M20" s="9">
        <v>-13584</v>
      </c>
    </row>
    <row r="21" spans="2:14" x14ac:dyDescent="0.25">
      <c r="B21" s="7" t="s">
        <v>10</v>
      </c>
      <c r="G21" s="10">
        <f t="shared" ref="G21:L21" si="7">G14+G20</f>
        <v>30863</v>
      </c>
      <c r="H21" s="10">
        <f t="shared" si="7"/>
        <v>13149</v>
      </c>
      <c r="I21" s="10">
        <f t="shared" si="7"/>
        <v>-3109</v>
      </c>
      <c r="J21" s="10">
        <f t="shared" si="7"/>
        <v>-13068</v>
      </c>
      <c r="K21" s="10">
        <f t="shared" si="7"/>
        <v>-15687</v>
      </c>
      <c r="L21" s="10">
        <f t="shared" si="7"/>
        <v>20269</v>
      </c>
      <c r="M21" s="10">
        <f t="shared" ref="M21" si="8">M14+M20</f>
        <v>-10052</v>
      </c>
    </row>
    <row r="23" spans="2:14" ht="16.5" thickBot="1" x14ac:dyDescent="0.3">
      <c r="B23" s="4" t="s">
        <v>11</v>
      </c>
      <c r="G23" s="9">
        <v>-9387</v>
      </c>
      <c r="H23" s="9">
        <v>-5788</v>
      </c>
      <c r="I23" s="9">
        <v>-1098</v>
      </c>
      <c r="J23" s="9">
        <v>-36176</v>
      </c>
      <c r="K23" s="9">
        <v>-3783</v>
      </c>
      <c r="L23" s="9">
        <v>-7875</v>
      </c>
      <c r="M23" s="9">
        <v>-3369</v>
      </c>
    </row>
    <row r="24" spans="2:14" x14ac:dyDescent="0.25">
      <c r="B24" s="7" t="s">
        <v>12</v>
      </c>
      <c r="G24" s="10">
        <f t="shared" ref="G24:L24" si="9">G23+G21</f>
        <v>21476</v>
      </c>
      <c r="H24" s="10">
        <f t="shared" si="9"/>
        <v>7361</v>
      </c>
      <c r="I24" s="10">
        <f t="shared" si="9"/>
        <v>-4207</v>
      </c>
      <c r="J24" s="10">
        <f t="shared" si="9"/>
        <v>-49244</v>
      </c>
      <c r="K24" s="10">
        <f t="shared" si="9"/>
        <v>-19470</v>
      </c>
      <c r="L24" s="10">
        <f t="shared" si="9"/>
        <v>12394</v>
      </c>
      <c r="M24" s="10">
        <f t="shared" ref="M24" si="10">M23+M21</f>
        <v>-13421</v>
      </c>
    </row>
    <row r="27" spans="2:14" ht="26.25" x14ac:dyDescent="0.4">
      <c r="B27" s="1" t="s">
        <v>13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9" spans="2:14" ht="16.5" thickBot="1" x14ac:dyDescent="0.3">
      <c r="B29" s="5" t="s">
        <v>1</v>
      </c>
      <c r="G29" s="6">
        <v>2021</v>
      </c>
      <c r="H29" s="6">
        <f t="shared" ref="H29:L29" si="11">G29+1</f>
        <v>2022</v>
      </c>
      <c r="I29" s="6">
        <f t="shared" si="11"/>
        <v>2023</v>
      </c>
      <c r="J29" s="6">
        <f t="shared" si="11"/>
        <v>2024</v>
      </c>
      <c r="K29" s="6">
        <f t="shared" si="11"/>
        <v>2025</v>
      </c>
      <c r="L29" s="6">
        <f t="shared" si="11"/>
        <v>2026</v>
      </c>
      <c r="M29" s="6" t="s">
        <v>57</v>
      </c>
    </row>
    <row r="31" spans="2:14" ht="16.5" thickBot="1" x14ac:dyDescent="0.3">
      <c r="B31" s="4" t="s">
        <v>12</v>
      </c>
      <c r="G31" s="12">
        <f>G24</f>
        <v>21476</v>
      </c>
      <c r="H31" s="12">
        <f t="shared" ref="H31:L31" si="12">H24</f>
        <v>7361</v>
      </c>
      <c r="I31" s="12">
        <f t="shared" si="12"/>
        <v>-4207</v>
      </c>
      <c r="J31" s="12">
        <f t="shared" si="12"/>
        <v>-49244</v>
      </c>
      <c r="K31" s="12">
        <f t="shared" si="12"/>
        <v>-19470</v>
      </c>
      <c r="L31" s="12">
        <f t="shared" si="12"/>
        <v>12394</v>
      </c>
    </row>
    <row r="32" spans="2:14" x14ac:dyDescent="0.25">
      <c r="B32" s="7" t="s">
        <v>14</v>
      </c>
      <c r="G32" s="13">
        <v>56089</v>
      </c>
      <c r="H32" s="13">
        <v>-44862</v>
      </c>
      <c r="I32" s="13">
        <v>-21754</v>
      </c>
      <c r="J32" s="13">
        <v>39172</v>
      </c>
      <c r="K32" s="13">
        <v>45477</v>
      </c>
      <c r="L32" s="13">
        <v>19158</v>
      </c>
    </row>
    <row r="33" spans="2:14" x14ac:dyDescent="0.25">
      <c r="B33" s="4" t="s">
        <v>15</v>
      </c>
      <c r="G33" s="8">
        <v>9866</v>
      </c>
      <c r="H33" s="8">
        <v>-101225</v>
      </c>
      <c r="I33" s="8">
        <v>-54989</v>
      </c>
      <c r="J33" s="8">
        <v>16465</v>
      </c>
      <c r="K33" s="8">
        <v>3930</v>
      </c>
      <c r="L33" s="8">
        <v>-28200</v>
      </c>
    </row>
    <row r="34" spans="2:14" x14ac:dyDescent="0.25">
      <c r="B34" s="7" t="s">
        <v>16</v>
      </c>
      <c r="G34" s="10">
        <f>G32-G33</f>
        <v>46223</v>
      </c>
      <c r="H34" s="10">
        <f t="shared" ref="H34:L34" si="13">H32-H33</f>
        <v>56363</v>
      </c>
      <c r="I34" s="10">
        <f t="shared" si="13"/>
        <v>33235</v>
      </c>
      <c r="J34" s="10">
        <f t="shared" si="13"/>
        <v>22707</v>
      </c>
      <c r="K34" s="10">
        <f t="shared" si="13"/>
        <v>41547</v>
      </c>
      <c r="L34" s="10">
        <f t="shared" si="13"/>
        <v>47358</v>
      </c>
    </row>
    <row r="36" spans="2:14" ht="16.5" thickBot="1" x14ac:dyDescent="0.3">
      <c r="B36" s="4" t="s">
        <v>17</v>
      </c>
      <c r="G36" s="9">
        <v>-13942</v>
      </c>
      <c r="H36" s="9">
        <v>-7550</v>
      </c>
      <c r="I36" s="9">
        <v>-4201</v>
      </c>
      <c r="J36" s="9">
        <v>-1000</v>
      </c>
      <c r="K36" s="9">
        <v>-4578</v>
      </c>
      <c r="L36" s="9">
        <v>-3696</v>
      </c>
    </row>
    <row r="37" spans="2:14" x14ac:dyDescent="0.25">
      <c r="B37" s="7" t="s">
        <v>18</v>
      </c>
      <c r="G37" s="13">
        <v>-14214</v>
      </c>
      <c r="H37" s="13">
        <v>-7938</v>
      </c>
      <c r="I37" s="13">
        <v>-4191</v>
      </c>
      <c r="J37" s="13">
        <v>-479</v>
      </c>
      <c r="K37" s="13">
        <v>-4469</v>
      </c>
      <c r="L37" s="13">
        <v>-3590</v>
      </c>
    </row>
    <row r="38" spans="2:14" ht="16.5" thickBot="1" x14ac:dyDescent="0.3">
      <c r="G38" s="9"/>
      <c r="H38" s="9"/>
      <c r="I38" s="9"/>
      <c r="J38" s="9"/>
      <c r="K38" s="9"/>
      <c r="L38" s="9"/>
    </row>
    <row r="39" spans="2:14" x14ac:dyDescent="0.25">
      <c r="B39" s="7" t="s">
        <v>19</v>
      </c>
      <c r="G39" s="10">
        <f>G32+G36</f>
        <v>42147</v>
      </c>
      <c r="H39" s="10">
        <f t="shared" ref="H39:L39" si="14">H32+H36</f>
        <v>-52412</v>
      </c>
      <c r="I39" s="10">
        <f t="shared" si="14"/>
        <v>-25955</v>
      </c>
      <c r="J39" s="10">
        <f t="shared" si="14"/>
        <v>38172</v>
      </c>
      <c r="K39" s="10">
        <f t="shared" si="14"/>
        <v>40899</v>
      </c>
      <c r="L39" s="10">
        <f t="shared" si="14"/>
        <v>15462</v>
      </c>
    </row>
    <row r="40" spans="2:14" x14ac:dyDescent="0.25">
      <c r="B40" s="7"/>
      <c r="G40" s="10"/>
      <c r="H40" s="10"/>
      <c r="I40" s="10"/>
      <c r="J40" s="10"/>
      <c r="K40" s="10"/>
      <c r="L40" s="10"/>
    </row>
    <row r="41" spans="2:14" x14ac:dyDescent="0.25">
      <c r="B41" s="4" t="s">
        <v>21</v>
      </c>
      <c r="G41" s="8">
        <v>-71750</v>
      </c>
      <c r="H41" s="8">
        <v>67250</v>
      </c>
      <c r="I41" s="8">
        <v>18450</v>
      </c>
      <c r="J41" s="8">
        <v>-30325</v>
      </c>
      <c r="K41" s="8">
        <v>-37213</v>
      </c>
      <c r="L41" s="8">
        <v>3881</v>
      </c>
    </row>
    <row r="42" spans="2:14" ht="16.5" thickBot="1" x14ac:dyDescent="0.3">
      <c r="B42" s="4" t="s">
        <v>22</v>
      </c>
      <c r="G42" s="9">
        <v>-1139</v>
      </c>
      <c r="H42" s="9">
        <v>-1914</v>
      </c>
      <c r="I42" s="9">
        <v>0</v>
      </c>
      <c r="J42" s="9">
        <v>0</v>
      </c>
      <c r="K42" s="9">
        <v>-4832</v>
      </c>
      <c r="L42" s="9">
        <v>-11351</v>
      </c>
    </row>
    <row r="43" spans="2:14" x14ac:dyDescent="0.25">
      <c r="B43" s="7" t="s">
        <v>20</v>
      </c>
      <c r="G43" s="13">
        <v>-76567</v>
      </c>
      <c r="H43" s="13">
        <v>60215</v>
      </c>
      <c r="I43" s="13">
        <v>14308</v>
      </c>
      <c r="J43" s="13">
        <v>-36439</v>
      </c>
      <c r="K43" s="13">
        <v>-44655</v>
      </c>
      <c r="L43" s="13">
        <v>-10980</v>
      </c>
    </row>
    <row r="45" spans="2:14" s="7" customFormat="1" x14ac:dyDescent="0.25">
      <c r="B45" s="7" t="s">
        <v>23</v>
      </c>
      <c r="G45" s="8">
        <v>-34093</v>
      </c>
      <c r="H45" s="8">
        <v>7493</v>
      </c>
      <c r="I45" s="8">
        <v>-11420</v>
      </c>
      <c r="J45" s="8">
        <v>2378</v>
      </c>
      <c r="K45" s="8">
        <v>-4545</v>
      </c>
      <c r="L45" s="8">
        <v>5221</v>
      </c>
    </row>
    <row r="48" spans="2:14" ht="26.25" x14ac:dyDescent="0.4">
      <c r="B48" s="1" t="s">
        <v>24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51" spans="2:13" ht="16.5" thickBot="1" x14ac:dyDescent="0.3">
      <c r="B51" s="5" t="s">
        <v>1</v>
      </c>
      <c r="G51" s="6">
        <v>2021</v>
      </c>
      <c r="H51" s="6">
        <f t="shared" ref="H51:L51" si="15">G51+1</f>
        <v>2022</v>
      </c>
      <c r="I51" s="6">
        <f t="shared" si="15"/>
        <v>2023</v>
      </c>
      <c r="J51" s="6">
        <f t="shared" si="15"/>
        <v>2024</v>
      </c>
      <c r="K51" s="6">
        <f t="shared" si="15"/>
        <v>2025</v>
      </c>
      <c r="L51" s="6">
        <f t="shared" si="15"/>
        <v>2026</v>
      </c>
      <c r="M51" s="6" t="s">
        <v>57</v>
      </c>
    </row>
    <row r="53" spans="2:13" x14ac:dyDescent="0.25">
      <c r="B53" s="4" t="s">
        <v>25</v>
      </c>
      <c r="G53" s="8">
        <v>15523</v>
      </c>
      <c r="H53" s="8">
        <v>23016</v>
      </c>
      <c r="I53" s="8">
        <v>11596</v>
      </c>
      <c r="J53" s="8">
        <v>13974</v>
      </c>
      <c r="K53" s="8">
        <v>9429</v>
      </c>
      <c r="L53" s="8">
        <v>14650</v>
      </c>
      <c r="M53" s="8">
        <v>19120</v>
      </c>
    </row>
    <row r="54" spans="2:13" x14ac:dyDescent="0.25">
      <c r="B54" s="4" t="s">
        <v>26</v>
      </c>
      <c r="G54" s="8">
        <v>1652</v>
      </c>
      <c r="H54" s="8">
        <v>2202</v>
      </c>
      <c r="I54" s="8">
        <v>2011</v>
      </c>
      <c r="J54" s="8">
        <v>1837</v>
      </c>
      <c r="K54" s="8">
        <v>1881</v>
      </c>
      <c r="L54" s="8">
        <v>2028</v>
      </c>
      <c r="M54" s="8">
        <v>2279</v>
      </c>
    </row>
    <row r="55" spans="2:13" x14ac:dyDescent="0.25">
      <c r="B55" s="4" t="s">
        <v>27</v>
      </c>
      <c r="G55" s="8">
        <v>63122</v>
      </c>
      <c r="H55" s="8">
        <v>85075</v>
      </c>
      <c r="I55" s="8">
        <v>119868</v>
      </c>
      <c r="J55" s="8">
        <v>96296</v>
      </c>
      <c r="K55" s="8">
        <v>91064</v>
      </c>
      <c r="L55" s="8">
        <v>112614</v>
      </c>
      <c r="M55" s="8">
        <v>71362</v>
      </c>
    </row>
    <row r="56" spans="2:13" x14ac:dyDescent="0.25">
      <c r="B56" s="4" t="s">
        <v>28</v>
      </c>
      <c r="G56" s="8">
        <v>288361</v>
      </c>
      <c r="H56" s="8">
        <v>370503</v>
      </c>
      <c r="I56" s="8">
        <v>339675</v>
      </c>
      <c r="J56" s="8">
        <v>377040</v>
      </c>
      <c r="K56" s="8">
        <v>341209</v>
      </c>
      <c r="L56" s="8">
        <v>380603</v>
      </c>
      <c r="M56" s="8">
        <v>396858</v>
      </c>
    </row>
    <row r="57" spans="2:13" x14ac:dyDescent="0.25">
      <c r="B57" s="4" t="s">
        <v>29</v>
      </c>
      <c r="G57" s="8">
        <v>14552</v>
      </c>
      <c r="H57" s="8">
        <v>15001</v>
      </c>
      <c r="I57" s="8">
        <v>16579</v>
      </c>
      <c r="J57" s="8">
        <v>20288</v>
      </c>
      <c r="K57" s="8">
        <v>18460</v>
      </c>
      <c r="L57" s="8">
        <v>16438</v>
      </c>
      <c r="M57" s="8">
        <v>16431</v>
      </c>
    </row>
    <row r="58" spans="2:13" x14ac:dyDescent="0.25">
      <c r="B58" s="4" t="s">
        <v>30</v>
      </c>
      <c r="G58" s="8">
        <v>26940</v>
      </c>
      <c r="H58" s="8">
        <v>27500</v>
      </c>
      <c r="I58" s="8">
        <v>25443</v>
      </c>
      <c r="J58" s="8">
        <v>27139</v>
      </c>
      <c r="K58" s="8">
        <v>29606</v>
      </c>
      <c r="L58" s="8">
        <v>34552</v>
      </c>
      <c r="M58" s="8">
        <v>35057</v>
      </c>
    </row>
    <row r="59" spans="2:13" x14ac:dyDescent="0.25">
      <c r="B59" s="4" t="s">
        <v>31</v>
      </c>
      <c r="G59" s="8">
        <v>12706</v>
      </c>
      <c r="H59" s="8">
        <v>13688</v>
      </c>
      <c r="I59" s="8">
        <v>22306</v>
      </c>
      <c r="J59" s="8">
        <v>23885</v>
      </c>
      <c r="K59" s="8">
        <v>19822</v>
      </c>
      <c r="L59" s="8">
        <v>23097</v>
      </c>
      <c r="M59" s="8">
        <v>23056</v>
      </c>
    </row>
    <row r="60" spans="2:13" x14ac:dyDescent="0.25">
      <c r="B60" s="7" t="s">
        <v>32</v>
      </c>
      <c r="G60" s="10">
        <f>SUM(G53:G59)</f>
        <v>422856</v>
      </c>
      <c r="H60" s="10">
        <f t="shared" ref="H60:L60" si="16">SUM(H53:H59)</f>
        <v>536985</v>
      </c>
      <c r="I60" s="10">
        <v>537478</v>
      </c>
      <c r="J60" s="10">
        <f t="shared" si="16"/>
        <v>560459</v>
      </c>
      <c r="K60" s="10">
        <f t="shared" si="16"/>
        <v>511471</v>
      </c>
      <c r="L60" s="10">
        <f t="shared" si="16"/>
        <v>583982</v>
      </c>
      <c r="M60" s="10">
        <f>SUM(M53:M59)</f>
        <v>564163</v>
      </c>
    </row>
    <row r="61" spans="2:13" x14ac:dyDescent="0.25">
      <c r="B61" s="4" t="s">
        <v>33</v>
      </c>
      <c r="G61" s="8">
        <v>53854</v>
      </c>
      <c r="H61" s="8">
        <v>51062</v>
      </c>
      <c r="I61" s="8">
        <v>46052</v>
      </c>
      <c r="J61" s="8">
        <v>38338</v>
      </c>
      <c r="K61" s="8">
        <v>31990</v>
      </c>
      <c r="L61" s="8">
        <v>30739</v>
      </c>
      <c r="M61" s="8">
        <v>29300</v>
      </c>
    </row>
    <row r="62" spans="2:13" x14ac:dyDescent="0.25">
      <c r="B62" s="4" t="s">
        <v>34</v>
      </c>
      <c r="G62" s="8">
        <v>270213</v>
      </c>
      <c r="H62" s="8">
        <v>310255</v>
      </c>
      <c r="I62" s="8">
        <v>318381</v>
      </c>
      <c r="J62" s="8">
        <v>320282</v>
      </c>
      <c r="K62" s="8">
        <v>336268</v>
      </c>
      <c r="L62" s="8">
        <v>331221</v>
      </c>
      <c r="M62" s="8">
        <v>338242</v>
      </c>
    </row>
    <row r="63" spans="2:13" x14ac:dyDescent="0.25">
      <c r="B63" s="4" t="s">
        <v>35</v>
      </c>
      <c r="G63" s="8">
        <v>8534</v>
      </c>
      <c r="H63" s="8">
        <v>7004</v>
      </c>
      <c r="I63" s="8">
        <v>5348</v>
      </c>
      <c r="J63" s="8">
        <v>4274</v>
      </c>
      <c r="K63" s="8">
        <v>3757</v>
      </c>
      <c r="L63" s="8">
        <v>3440</v>
      </c>
      <c r="M63" s="8">
        <v>7355</v>
      </c>
    </row>
    <row r="64" spans="2:13" x14ac:dyDescent="0.25">
      <c r="B64" s="7" t="s">
        <v>36</v>
      </c>
      <c r="G64" s="10">
        <v>847882</v>
      </c>
      <c r="H64" s="10">
        <v>1015698</v>
      </c>
      <c r="I64" s="10">
        <v>1028565</v>
      </c>
      <c r="J64" s="10">
        <v>1012002</v>
      </c>
      <c r="K64" s="10">
        <v>957636</v>
      </c>
      <c r="L64" s="10">
        <v>1019437</v>
      </c>
      <c r="M64" s="10">
        <v>1010024</v>
      </c>
    </row>
    <row r="66" spans="2:13" x14ac:dyDescent="0.25">
      <c r="B66" s="4" t="s">
        <v>37</v>
      </c>
      <c r="G66" s="8">
        <v>152735</v>
      </c>
      <c r="H66" s="8">
        <v>168435</v>
      </c>
      <c r="I66" s="8">
        <v>141766</v>
      </c>
      <c r="J66" s="8">
        <v>185182</v>
      </c>
      <c r="K66" s="8">
        <v>172117</v>
      </c>
      <c r="L66" s="8">
        <v>200499</v>
      </c>
      <c r="M66" s="8">
        <v>177487</v>
      </c>
    </row>
    <row r="67" spans="2:13" x14ac:dyDescent="0.25">
      <c r="B67" s="4" t="s">
        <v>38</v>
      </c>
      <c r="G67" s="8">
        <v>31524</v>
      </c>
      <c r="H67" s="8">
        <v>38086</v>
      </c>
      <c r="I67" s="8">
        <v>37984</v>
      </c>
      <c r="J67" s="8">
        <v>38312</v>
      </c>
      <c r="K67" s="8">
        <v>34411</v>
      </c>
      <c r="L67" s="8">
        <v>29923</v>
      </c>
      <c r="M67" s="8">
        <v>33164</v>
      </c>
    </row>
    <row r="68" spans="2:13" x14ac:dyDescent="0.25">
      <c r="B68" s="4" t="s">
        <v>39</v>
      </c>
      <c r="G68" s="8">
        <v>41072</v>
      </c>
      <c r="H68" s="8">
        <v>42496</v>
      </c>
      <c r="I68" s="8">
        <v>40340</v>
      </c>
      <c r="J68" s="8">
        <v>37591</v>
      </c>
      <c r="K68" s="8">
        <v>38158</v>
      </c>
      <c r="L68" s="8">
        <v>61201</v>
      </c>
      <c r="M68" s="8">
        <v>47570</v>
      </c>
    </row>
    <row r="69" spans="2:13" x14ac:dyDescent="0.25">
      <c r="B69" s="4" t="s">
        <v>40</v>
      </c>
      <c r="G69" s="8">
        <v>84000</v>
      </c>
      <c r="H69" s="8">
        <v>155000</v>
      </c>
      <c r="I69" s="8">
        <v>145200</v>
      </c>
      <c r="J69" s="8">
        <v>128000</v>
      </c>
      <c r="K69" s="8">
        <v>90787</v>
      </c>
      <c r="L69" s="8">
        <v>94668</v>
      </c>
      <c r="M69" s="8">
        <v>118839</v>
      </c>
    </row>
    <row r="70" spans="2:13" x14ac:dyDescent="0.25">
      <c r="B70" s="4" t="s">
        <v>41</v>
      </c>
      <c r="G70" s="8">
        <v>3678</v>
      </c>
      <c r="H70" s="8">
        <v>3670</v>
      </c>
      <c r="I70" s="8">
        <v>3664</v>
      </c>
      <c r="J70" s="8">
        <v>0</v>
      </c>
      <c r="K70" s="8">
        <v>0</v>
      </c>
      <c r="L70" s="8">
        <v>0</v>
      </c>
      <c r="M70" s="8">
        <v>0</v>
      </c>
    </row>
    <row r="71" spans="2:13" x14ac:dyDescent="0.25">
      <c r="B71" s="7" t="s">
        <v>42</v>
      </c>
      <c r="G71" s="10">
        <v>326131</v>
      </c>
      <c r="H71" s="10">
        <v>426405</v>
      </c>
      <c r="I71" s="10">
        <v>382592</v>
      </c>
      <c r="J71" s="10">
        <v>404425</v>
      </c>
      <c r="K71" s="10">
        <v>351025</v>
      </c>
      <c r="L71" s="10">
        <v>399596</v>
      </c>
      <c r="M71" s="10">
        <v>391153</v>
      </c>
    </row>
    <row r="72" spans="2:13" x14ac:dyDescent="0.25">
      <c r="B72" s="4" t="s">
        <v>43</v>
      </c>
      <c r="G72" s="8">
        <v>16786</v>
      </c>
      <c r="H72" s="8">
        <v>13024</v>
      </c>
      <c r="I72" s="8">
        <v>9279</v>
      </c>
      <c r="J72" s="8">
        <v>0</v>
      </c>
      <c r="K72" s="8">
        <v>0</v>
      </c>
      <c r="L72" s="8">
        <v>0</v>
      </c>
      <c r="M72" s="8">
        <v>0</v>
      </c>
    </row>
    <row r="73" spans="2:13" x14ac:dyDescent="0.25">
      <c r="B73" s="4" t="s">
        <v>44</v>
      </c>
      <c r="G73" s="8">
        <v>0</v>
      </c>
      <c r="H73" s="8">
        <v>0</v>
      </c>
      <c r="I73" s="8">
        <v>30994</v>
      </c>
      <c r="J73" s="8">
        <v>30776</v>
      </c>
      <c r="K73" s="8">
        <v>35207</v>
      </c>
      <c r="L73" s="8">
        <v>38993</v>
      </c>
      <c r="M73" s="8">
        <v>44795</v>
      </c>
    </row>
    <row r="74" spans="2:13" x14ac:dyDescent="0.25">
      <c r="B74" s="4" t="s">
        <v>45</v>
      </c>
      <c r="G74" s="8">
        <v>125223</v>
      </c>
      <c r="H74" s="8">
        <v>172764</v>
      </c>
      <c r="I74" s="8">
        <v>193606</v>
      </c>
      <c r="J74" s="8">
        <v>212068</v>
      </c>
      <c r="K74" s="8">
        <v>241404</v>
      </c>
      <c r="L74" s="8">
        <v>249108</v>
      </c>
      <c r="M74" s="8">
        <v>256961</v>
      </c>
    </row>
    <row r="75" spans="2:13" x14ac:dyDescent="0.25">
      <c r="B75" s="4" t="s">
        <v>46</v>
      </c>
      <c r="G75" s="8">
        <v>76990</v>
      </c>
      <c r="H75" s="8">
        <v>87591</v>
      </c>
      <c r="I75" s="8">
        <v>88085</v>
      </c>
      <c r="J75" s="8">
        <v>80559</v>
      </c>
      <c r="K75" s="8">
        <v>75290</v>
      </c>
      <c r="L75" s="8">
        <v>65926</v>
      </c>
      <c r="M75" s="8">
        <v>65063</v>
      </c>
    </row>
    <row r="76" spans="2:13" x14ac:dyDescent="0.25">
      <c r="B76" s="7" t="s">
        <v>47</v>
      </c>
      <c r="G76" s="10">
        <v>104461</v>
      </c>
      <c r="H76" s="10">
        <v>171694</v>
      </c>
      <c r="I76" s="10">
        <v>189137</v>
      </c>
      <c r="J76" s="10">
        <v>158776</v>
      </c>
      <c r="K76" s="10">
        <v>125994</v>
      </c>
      <c r="L76" s="10">
        <v>133661</v>
      </c>
      <c r="M76" s="10">
        <v>163634</v>
      </c>
    </row>
    <row r="77" spans="2:13" x14ac:dyDescent="0.25">
      <c r="B77" s="7" t="s">
        <v>48</v>
      </c>
      <c r="G77" s="10">
        <v>546737</v>
      </c>
      <c r="H77" s="10">
        <v>700435</v>
      </c>
      <c r="I77" s="10">
        <v>708090</v>
      </c>
      <c r="J77" s="10">
        <v>726892</v>
      </c>
      <c r="K77" s="10">
        <v>699937</v>
      </c>
      <c r="L77" s="10">
        <v>753427</v>
      </c>
      <c r="M77" s="10">
        <v>757035</v>
      </c>
    </row>
    <row r="78" spans="2:13" x14ac:dyDescent="0.25">
      <c r="B78" s="7" t="s">
        <v>49</v>
      </c>
      <c r="G78" s="10">
        <f>G64-G77</f>
        <v>301145</v>
      </c>
      <c r="H78" s="10">
        <f t="shared" ref="H78:M78" si="17">H64-H77</f>
        <v>315263</v>
      </c>
      <c r="I78" s="10">
        <f t="shared" si="17"/>
        <v>320475</v>
      </c>
      <c r="J78" s="10">
        <f t="shared" si="17"/>
        <v>285110</v>
      </c>
      <c r="K78" s="10">
        <f t="shared" si="17"/>
        <v>257699</v>
      </c>
      <c r="L78" s="10">
        <f t="shared" si="17"/>
        <v>266010</v>
      </c>
      <c r="M78" s="10">
        <f t="shared" si="17"/>
        <v>252989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0709-C4BB-4833-9448-F3E3BAD0C914}">
  <dimension ref="B2:P249"/>
  <sheetViews>
    <sheetView showGridLines="0" topLeftCell="A31" zoomScaleNormal="100" workbookViewId="0">
      <selection activeCell="J54" sqref="J54"/>
    </sheetView>
  </sheetViews>
  <sheetFormatPr defaultColWidth="9" defaultRowHeight="13.5" x14ac:dyDescent="0.25"/>
  <cols>
    <col min="7" max="13" width="12.85546875" customWidth="1"/>
  </cols>
  <sheetData>
    <row r="2" spans="2:14" ht="26.25" x14ac:dyDescent="0.4">
      <c r="B2" s="1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ht="15.75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2:14" ht="16.5" thickBot="1" x14ac:dyDescent="0.3">
      <c r="B4" s="5" t="s">
        <v>1</v>
      </c>
      <c r="C4" s="4"/>
      <c r="D4" s="4"/>
      <c r="E4" s="4"/>
      <c r="F4" s="4"/>
      <c r="G4" s="6">
        <v>2021</v>
      </c>
      <c r="H4" s="6">
        <v>2022</v>
      </c>
      <c r="I4" s="6">
        <v>2023</v>
      </c>
      <c r="J4" s="6">
        <v>2024</v>
      </c>
      <c r="K4" s="6">
        <v>2025</v>
      </c>
      <c r="L4" s="6">
        <v>2026</v>
      </c>
      <c r="M4" s="17" t="s">
        <v>57</v>
      </c>
    </row>
    <row r="5" spans="2:14" ht="15.75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2:14" ht="15.75" x14ac:dyDescent="0.25">
      <c r="B6" s="4" t="s">
        <v>25</v>
      </c>
      <c r="C6" s="4"/>
      <c r="D6" s="4"/>
      <c r="E6" s="4"/>
      <c r="F6" s="4"/>
      <c r="G6" s="8">
        <v>15523</v>
      </c>
      <c r="H6" s="8">
        <v>23016</v>
      </c>
      <c r="I6" s="8">
        <v>11596</v>
      </c>
      <c r="J6" s="8">
        <v>13974</v>
      </c>
      <c r="K6" s="8">
        <v>9429</v>
      </c>
      <c r="L6" s="8">
        <v>14650</v>
      </c>
      <c r="M6" s="8">
        <v>19120</v>
      </c>
    </row>
    <row r="7" spans="2:14" ht="15.75" x14ac:dyDescent="0.25">
      <c r="B7" s="4" t="s">
        <v>26</v>
      </c>
      <c r="C7" s="4"/>
      <c r="D7" s="4"/>
      <c r="E7" s="4"/>
      <c r="F7" s="4"/>
      <c r="G7" s="8">
        <v>1652</v>
      </c>
      <c r="H7" s="8">
        <v>2202</v>
      </c>
      <c r="I7" s="8">
        <v>2011</v>
      </c>
      <c r="J7" s="8">
        <v>1837</v>
      </c>
      <c r="K7" s="8">
        <v>1881</v>
      </c>
      <c r="L7" s="8">
        <v>2028</v>
      </c>
      <c r="M7" s="8">
        <v>2279</v>
      </c>
    </row>
    <row r="8" spans="2:14" ht="15.75" x14ac:dyDescent="0.25">
      <c r="B8" s="4" t="s">
        <v>27</v>
      </c>
      <c r="C8" s="4"/>
      <c r="D8" s="4"/>
      <c r="E8" s="4"/>
      <c r="F8" s="4"/>
      <c r="G8" s="8">
        <v>63122</v>
      </c>
      <c r="H8" s="8">
        <v>85075</v>
      </c>
      <c r="I8" s="8">
        <v>119868</v>
      </c>
      <c r="J8" s="8">
        <v>96296</v>
      </c>
      <c r="K8" s="8">
        <v>91064</v>
      </c>
      <c r="L8" s="8">
        <v>112614</v>
      </c>
      <c r="M8" s="8">
        <v>71362</v>
      </c>
    </row>
    <row r="9" spans="2:14" ht="15.75" x14ac:dyDescent="0.25">
      <c r="B9" s="4" t="s">
        <v>28</v>
      </c>
      <c r="C9" s="4"/>
      <c r="D9" s="4"/>
      <c r="E9" s="4"/>
      <c r="F9" s="4"/>
      <c r="G9" s="8">
        <v>288361</v>
      </c>
      <c r="H9" s="8">
        <v>370503</v>
      </c>
      <c r="I9" s="8">
        <v>339675</v>
      </c>
      <c r="J9" s="8">
        <v>377040</v>
      </c>
      <c r="K9" s="8">
        <v>341209</v>
      </c>
      <c r="L9" s="8">
        <v>380603</v>
      </c>
      <c r="M9" s="8">
        <v>396858</v>
      </c>
    </row>
    <row r="10" spans="2:14" ht="15.75" x14ac:dyDescent="0.25">
      <c r="B10" s="4" t="s">
        <v>29</v>
      </c>
      <c r="C10" s="4"/>
      <c r="D10" s="4"/>
      <c r="E10" s="4"/>
      <c r="F10" s="4"/>
      <c r="G10" s="8">
        <v>14552</v>
      </c>
      <c r="H10" s="8">
        <v>15001</v>
      </c>
      <c r="I10" s="8">
        <v>16579</v>
      </c>
      <c r="J10" s="8">
        <v>20288</v>
      </c>
      <c r="K10" s="8">
        <v>18460</v>
      </c>
      <c r="L10" s="8">
        <v>16438</v>
      </c>
      <c r="M10" s="8">
        <v>16431</v>
      </c>
      <c r="N10" s="18"/>
    </row>
    <row r="11" spans="2:14" ht="15.75" x14ac:dyDescent="0.25">
      <c r="B11" s="4" t="s">
        <v>30</v>
      </c>
      <c r="C11" s="4"/>
      <c r="D11" s="4"/>
      <c r="E11" s="4"/>
      <c r="F11" s="4"/>
      <c r="G11" s="8">
        <v>26940</v>
      </c>
      <c r="H11" s="8">
        <v>27500</v>
      </c>
      <c r="I11" s="8">
        <v>25443</v>
      </c>
      <c r="J11" s="8">
        <v>27139</v>
      </c>
      <c r="K11" s="8">
        <v>29606</v>
      </c>
      <c r="L11" s="8">
        <v>34552</v>
      </c>
      <c r="M11" s="8">
        <v>35057</v>
      </c>
    </row>
    <row r="12" spans="2:14" ht="15.75" x14ac:dyDescent="0.25">
      <c r="B12" s="4" t="s">
        <v>31</v>
      </c>
      <c r="C12" s="4"/>
      <c r="D12" s="4"/>
      <c r="E12" s="4"/>
      <c r="F12" s="4"/>
      <c r="G12" s="8">
        <v>12706</v>
      </c>
      <c r="H12" s="8">
        <v>13688</v>
      </c>
      <c r="I12" s="8">
        <v>22306</v>
      </c>
      <c r="J12" s="8">
        <v>23885</v>
      </c>
      <c r="K12" s="8">
        <v>19822</v>
      </c>
      <c r="L12" s="8">
        <v>23097</v>
      </c>
      <c r="M12" s="8">
        <v>23056</v>
      </c>
    </row>
    <row r="13" spans="2:14" ht="15.75" x14ac:dyDescent="0.25">
      <c r="B13" s="7" t="s">
        <v>32</v>
      </c>
      <c r="C13" s="4"/>
      <c r="D13" s="4"/>
      <c r="E13" s="4"/>
      <c r="F13" s="4"/>
      <c r="G13" s="10">
        <f>SUM(G6:G12)</f>
        <v>422856</v>
      </c>
      <c r="H13" s="10">
        <f t="shared" ref="H13:L13" si="0">SUM(H6:H12)</f>
        <v>536985</v>
      </c>
      <c r="I13" s="10">
        <v>537478</v>
      </c>
      <c r="J13" s="10">
        <f t="shared" si="0"/>
        <v>560459</v>
      </c>
      <c r="K13" s="10">
        <f t="shared" si="0"/>
        <v>511471</v>
      </c>
      <c r="L13" s="10">
        <f t="shared" si="0"/>
        <v>583982</v>
      </c>
      <c r="M13" s="10">
        <f>SUM(M6:M12)</f>
        <v>564163</v>
      </c>
    </row>
    <row r="14" spans="2:14" ht="15.75" x14ac:dyDescent="0.25">
      <c r="B14" s="4" t="s">
        <v>33</v>
      </c>
      <c r="C14" s="4"/>
      <c r="D14" s="4"/>
      <c r="E14" s="4"/>
      <c r="F14" s="4"/>
      <c r="G14" s="8">
        <v>53854</v>
      </c>
      <c r="H14" s="8">
        <v>51062</v>
      </c>
      <c r="I14" s="8">
        <v>46052</v>
      </c>
      <c r="J14" s="8">
        <v>38338</v>
      </c>
      <c r="K14" s="8">
        <v>31990</v>
      </c>
      <c r="L14" s="8">
        <v>30739</v>
      </c>
      <c r="M14" s="8">
        <v>29300</v>
      </c>
    </row>
    <row r="15" spans="2:14" ht="15.75" x14ac:dyDescent="0.25">
      <c r="B15" s="4" t="s">
        <v>34</v>
      </c>
      <c r="C15" s="4"/>
      <c r="D15" s="4"/>
      <c r="E15" s="4"/>
      <c r="F15" s="4"/>
      <c r="G15" s="8">
        <v>270213</v>
      </c>
      <c r="H15" s="8">
        <v>310255</v>
      </c>
      <c r="I15" s="8">
        <v>318381</v>
      </c>
      <c r="J15" s="8">
        <v>320282</v>
      </c>
      <c r="K15" s="8">
        <v>336268</v>
      </c>
      <c r="L15" s="8">
        <v>331221</v>
      </c>
      <c r="M15" s="8">
        <v>338242</v>
      </c>
    </row>
    <row r="16" spans="2:14" ht="15.75" x14ac:dyDescent="0.25">
      <c r="B16" s="4" t="s">
        <v>35</v>
      </c>
      <c r="C16" s="4"/>
      <c r="D16" s="4"/>
      <c r="E16" s="4"/>
      <c r="F16" s="4"/>
      <c r="G16" s="8">
        <v>8534</v>
      </c>
      <c r="H16" s="8">
        <v>7004</v>
      </c>
      <c r="I16" s="8">
        <v>5348</v>
      </c>
      <c r="J16" s="8">
        <v>4274</v>
      </c>
      <c r="K16" s="8">
        <v>3757</v>
      </c>
      <c r="L16" s="8">
        <v>3440</v>
      </c>
      <c r="M16" s="8">
        <v>7355</v>
      </c>
    </row>
    <row r="17" spans="2:13" ht="15.75" x14ac:dyDescent="0.25">
      <c r="B17" s="7" t="s">
        <v>36</v>
      </c>
      <c r="C17" s="4"/>
      <c r="D17" s="4"/>
      <c r="E17" s="4"/>
      <c r="F17" s="4"/>
      <c r="G17" s="10">
        <v>847882</v>
      </c>
      <c r="H17" s="10">
        <v>1015698</v>
      </c>
      <c r="I17" s="10">
        <v>1028565</v>
      </c>
      <c r="J17" s="10">
        <v>1012002</v>
      </c>
      <c r="K17" s="10">
        <v>957636</v>
      </c>
      <c r="L17" s="10">
        <v>1019437</v>
      </c>
      <c r="M17" s="10">
        <v>1010024</v>
      </c>
    </row>
    <row r="18" spans="2:13" ht="15.75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2:13" ht="15.75" x14ac:dyDescent="0.25">
      <c r="B19" s="4" t="s">
        <v>37</v>
      </c>
      <c r="C19" s="4"/>
      <c r="D19" s="4"/>
      <c r="E19" s="4"/>
      <c r="F19" s="4"/>
      <c r="G19" s="8">
        <v>152735</v>
      </c>
      <c r="H19" s="8">
        <v>168435</v>
      </c>
      <c r="I19" s="8">
        <v>141766</v>
      </c>
      <c r="J19" s="8">
        <v>185182</v>
      </c>
      <c r="K19" s="8">
        <v>172117</v>
      </c>
      <c r="L19" s="8">
        <v>200499</v>
      </c>
      <c r="M19" s="8">
        <v>177487</v>
      </c>
    </row>
    <row r="20" spans="2:13" ht="15.75" x14ac:dyDescent="0.25">
      <c r="B20" s="4" t="s">
        <v>38</v>
      </c>
      <c r="C20" s="4"/>
      <c r="D20" s="4"/>
      <c r="E20" s="4"/>
      <c r="F20" s="4"/>
      <c r="G20" s="8">
        <v>31524</v>
      </c>
      <c r="H20" s="8">
        <v>38086</v>
      </c>
      <c r="I20" s="8">
        <v>37984</v>
      </c>
      <c r="J20" s="8">
        <v>38312</v>
      </c>
      <c r="K20" s="8">
        <v>34411</v>
      </c>
      <c r="L20" s="8">
        <v>29923</v>
      </c>
      <c r="M20" s="8">
        <v>33164</v>
      </c>
    </row>
    <row r="21" spans="2:13" ht="15.75" x14ac:dyDescent="0.25">
      <c r="B21" s="4" t="s">
        <v>39</v>
      </c>
      <c r="C21" s="4"/>
      <c r="D21" s="4"/>
      <c r="E21" s="4"/>
      <c r="F21" s="4"/>
      <c r="G21" s="8">
        <v>41072</v>
      </c>
      <c r="H21" s="8">
        <v>42496</v>
      </c>
      <c r="I21" s="8">
        <v>40340</v>
      </c>
      <c r="J21" s="8">
        <v>37591</v>
      </c>
      <c r="K21" s="8">
        <v>38158</v>
      </c>
      <c r="L21" s="8">
        <v>61201</v>
      </c>
      <c r="M21" s="8">
        <v>47570</v>
      </c>
    </row>
    <row r="22" spans="2:13" ht="15.75" x14ac:dyDescent="0.25">
      <c r="B22" s="4" t="s">
        <v>40</v>
      </c>
      <c r="C22" s="4"/>
      <c r="D22" s="4"/>
      <c r="E22" s="4"/>
      <c r="F22" s="4"/>
      <c r="G22" s="8">
        <v>84000</v>
      </c>
      <c r="H22" s="8">
        <v>155000</v>
      </c>
      <c r="I22" s="8">
        <v>145200</v>
      </c>
      <c r="J22" s="8">
        <v>128000</v>
      </c>
      <c r="K22" s="8">
        <v>90787</v>
      </c>
      <c r="L22" s="8">
        <v>94668</v>
      </c>
      <c r="M22" s="8">
        <v>118839</v>
      </c>
    </row>
    <row r="23" spans="2:13" ht="15.75" x14ac:dyDescent="0.25">
      <c r="B23" s="4" t="s">
        <v>41</v>
      </c>
      <c r="C23" s="4"/>
      <c r="D23" s="4"/>
      <c r="E23" s="4"/>
      <c r="F23" s="4"/>
      <c r="G23" s="8">
        <v>3678</v>
      </c>
      <c r="H23" s="8">
        <v>3670</v>
      </c>
      <c r="I23" s="8">
        <v>3664</v>
      </c>
      <c r="J23" s="8">
        <v>0</v>
      </c>
      <c r="K23" s="8">
        <v>0</v>
      </c>
      <c r="L23" s="8">
        <v>0</v>
      </c>
      <c r="M23" s="8">
        <v>0</v>
      </c>
    </row>
    <row r="24" spans="2:13" ht="15.75" x14ac:dyDescent="0.25">
      <c r="B24" s="7" t="s">
        <v>42</v>
      </c>
      <c r="C24" s="4"/>
      <c r="D24" s="4"/>
      <c r="E24" s="4"/>
      <c r="F24" s="4"/>
      <c r="G24" s="10">
        <v>326131</v>
      </c>
      <c r="H24" s="10">
        <v>426405</v>
      </c>
      <c r="I24" s="10">
        <v>382592</v>
      </c>
      <c r="J24" s="10">
        <v>404425</v>
      </c>
      <c r="K24" s="10">
        <v>351025</v>
      </c>
      <c r="L24" s="10">
        <v>399596</v>
      </c>
      <c r="M24" s="10">
        <v>391153</v>
      </c>
    </row>
    <row r="25" spans="2:13" ht="15.75" x14ac:dyDescent="0.25">
      <c r="B25" s="4" t="s">
        <v>43</v>
      </c>
      <c r="C25" s="4"/>
      <c r="D25" s="4"/>
      <c r="E25" s="4"/>
      <c r="F25" s="4"/>
      <c r="G25" s="8">
        <v>16786</v>
      </c>
      <c r="H25" s="8">
        <v>13024</v>
      </c>
      <c r="I25" s="8">
        <v>9279</v>
      </c>
      <c r="J25" s="8">
        <v>0</v>
      </c>
      <c r="K25" s="8">
        <v>0</v>
      </c>
      <c r="L25" s="8">
        <v>0</v>
      </c>
      <c r="M25" s="8">
        <v>0</v>
      </c>
    </row>
    <row r="26" spans="2:13" ht="15.75" x14ac:dyDescent="0.25">
      <c r="B26" s="4" t="s">
        <v>44</v>
      </c>
      <c r="C26" s="4"/>
      <c r="D26" s="4"/>
      <c r="E26" s="4"/>
      <c r="F26" s="4"/>
      <c r="G26" s="8">
        <v>0</v>
      </c>
      <c r="H26" s="8">
        <v>0</v>
      </c>
      <c r="I26" s="8">
        <v>30994</v>
      </c>
      <c r="J26" s="8">
        <v>30776</v>
      </c>
      <c r="K26" s="8">
        <v>35207</v>
      </c>
      <c r="L26" s="8">
        <v>38993</v>
      </c>
      <c r="M26" s="8">
        <v>44795</v>
      </c>
    </row>
    <row r="27" spans="2:13" ht="15.75" x14ac:dyDescent="0.25">
      <c r="B27" s="4" t="s">
        <v>45</v>
      </c>
      <c r="C27" s="4"/>
      <c r="D27" s="4"/>
      <c r="E27" s="4"/>
      <c r="F27" s="4"/>
      <c r="G27" s="8">
        <v>125223</v>
      </c>
      <c r="H27" s="8">
        <v>172764</v>
      </c>
      <c r="I27" s="8">
        <v>193606</v>
      </c>
      <c r="J27" s="8">
        <v>212068</v>
      </c>
      <c r="K27" s="8">
        <v>241404</v>
      </c>
      <c r="L27" s="8">
        <v>249108</v>
      </c>
      <c r="M27" s="8">
        <v>256961</v>
      </c>
    </row>
    <row r="28" spans="2:13" ht="15.75" x14ac:dyDescent="0.25">
      <c r="B28" s="4" t="s">
        <v>46</v>
      </c>
      <c r="C28" s="4"/>
      <c r="D28" s="4"/>
      <c r="E28" s="4"/>
      <c r="F28" s="4"/>
      <c r="G28" s="8">
        <v>76990</v>
      </c>
      <c r="H28" s="8">
        <v>87591</v>
      </c>
      <c r="I28" s="8">
        <v>88085</v>
      </c>
      <c r="J28" s="8">
        <v>80559</v>
      </c>
      <c r="K28" s="8">
        <v>75290</v>
      </c>
      <c r="L28" s="8">
        <v>65926</v>
      </c>
      <c r="M28" s="8">
        <v>65063</v>
      </c>
    </row>
    <row r="29" spans="2:13" ht="15.75" x14ac:dyDescent="0.25">
      <c r="B29" s="7" t="s">
        <v>47</v>
      </c>
      <c r="C29" s="4"/>
      <c r="D29" s="4"/>
      <c r="E29" s="4"/>
      <c r="F29" s="4"/>
      <c r="G29" s="10">
        <v>104461</v>
      </c>
      <c r="H29" s="10">
        <v>171694</v>
      </c>
      <c r="I29" s="10">
        <v>189137</v>
      </c>
      <c r="J29" s="10">
        <v>158776</v>
      </c>
      <c r="K29" s="10">
        <v>125994</v>
      </c>
      <c r="L29" s="10">
        <v>133661</v>
      </c>
      <c r="M29" s="10">
        <v>163634</v>
      </c>
    </row>
    <row r="30" spans="2:13" ht="15.75" x14ac:dyDescent="0.25">
      <c r="B30" s="7" t="s">
        <v>48</v>
      </c>
      <c r="C30" s="4"/>
      <c r="D30" s="4"/>
      <c r="E30" s="4"/>
      <c r="F30" s="4"/>
      <c r="G30" s="10">
        <v>546737</v>
      </c>
      <c r="H30" s="10">
        <v>700435</v>
      </c>
      <c r="I30" s="10">
        <v>708090</v>
      </c>
      <c r="J30" s="10">
        <v>726892</v>
      </c>
      <c r="K30" s="10">
        <v>699937</v>
      </c>
      <c r="L30" s="10">
        <v>753427</v>
      </c>
      <c r="M30" s="10">
        <v>757035</v>
      </c>
    </row>
    <row r="31" spans="2:13" ht="15.75" x14ac:dyDescent="0.25">
      <c r="B31" s="7" t="s">
        <v>49</v>
      </c>
      <c r="C31" s="4"/>
      <c r="D31" s="4"/>
      <c r="E31" s="4"/>
      <c r="F31" s="4"/>
      <c r="G31" s="10">
        <f>G17-G30</f>
        <v>301145</v>
      </c>
      <c r="H31" s="10">
        <f t="shared" ref="H31:M31" si="1">H17-H30</f>
        <v>315263</v>
      </c>
      <c r="I31" s="10">
        <f t="shared" si="1"/>
        <v>320475</v>
      </c>
      <c r="J31" s="10">
        <f t="shared" si="1"/>
        <v>285110</v>
      </c>
      <c r="K31" s="10">
        <f t="shared" si="1"/>
        <v>257699</v>
      </c>
      <c r="L31" s="10">
        <f t="shared" si="1"/>
        <v>266010</v>
      </c>
      <c r="M31" s="10">
        <f t="shared" si="1"/>
        <v>252989</v>
      </c>
    </row>
    <row r="34" spans="2:16" ht="26.25" x14ac:dyDescent="0.4">
      <c r="B34" s="1" t="s">
        <v>59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6" ht="15.75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2:16" ht="16.5" thickBot="1" x14ac:dyDescent="0.3">
      <c r="B36" s="5" t="s">
        <v>1</v>
      </c>
      <c r="C36" s="4"/>
      <c r="D36" s="4"/>
      <c r="E36" s="4"/>
      <c r="F36" s="4"/>
      <c r="G36" s="6">
        <v>2021</v>
      </c>
      <c r="H36" s="6">
        <v>2022</v>
      </c>
      <c r="I36" s="6">
        <v>2023</v>
      </c>
      <c r="J36" s="6">
        <v>2024</v>
      </c>
      <c r="K36" s="6">
        <v>2025</v>
      </c>
      <c r="L36" s="6">
        <v>2026</v>
      </c>
      <c r="M36" s="17" t="s">
        <v>57</v>
      </c>
    </row>
    <row r="37" spans="2:16" ht="15.75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2:16" ht="15.75" x14ac:dyDescent="0.25">
      <c r="B38" s="4" t="s">
        <v>50</v>
      </c>
      <c r="C38" s="4"/>
      <c r="D38" s="4"/>
      <c r="E38" s="4"/>
      <c r="F38" s="4"/>
      <c r="G38" s="11">
        <f>G13-G24</f>
        <v>96725</v>
      </c>
      <c r="H38" s="11">
        <f t="shared" ref="H38:L38" si="2">H13-H24</f>
        <v>110580</v>
      </c>
      <c r="I38" s="11">
        <f t="shared" si="2"/>
        <v>154886</v>
      </c>
      <c r="J38" s="11">
        <f t="shared" si="2"/>
        <v>156034</v>
      </c>
      <c r="K38" s="11">
        <f t="shared" si="2"/>
        <v>160446</v>
      </c>
      <c r="L38" s="11">
        <f t="shared" si="2"/>
        <v>184386</v>
      </c>
      <c r="M38" s="11">
        <f t="shared" ref="M38" si="3">M13-M24</f>
        <v>173010</v>
      </c>
      <c r="N38" s="4"/>
      <c r="O38" s="4"/>
      <c r="P38" s="4"/>
    </row>
    <row r="39" spans="2:16" ht="15.75" x14ac:dyDescent="0.25">
      <c r="B39" s="4" t="s">
        <v>51</v>
      </c>
      <c r="C39" s="4"/>
      <c r="D39" s="4"/>
      <c r="E39" s="4"/>
      <c r="F39" s="4"/>
      <c r="G39" s="14">
        <f>G13/G24</f>
        <v>1.2965832748190145</v>
      </c>
      <c r="H39" s="14">
        <f t="shared" ref="H39:L39" si="4">H13/H24</f>
        <v>1.2593309177894256</v>
      </c>
      <c r="I39" s="14">
        <f t="shared" si="4"/>
        <v>1.4048333472733356</v>
      </c>
      <c r="J39" s="14">
        <f t="shared" si="4"/>
        <v>1.3858169005378005</v>
      </c>
      <c r="K39" s="14">
        <f t="shared" si="4"/>
        <v>1.4570785556584289</v>
      </c>
      <c r="L39" s="14">
        <f t="shared" si="4"/>
        <v>1.4614310453558095</v>
      </c>
      <c r="M39" s="14">
        <f t="shared" ref="M39" si="5">M13/M24</f>
        <v>1.4423077414720071</v>
      </c>
      <c r="N39" s="4"/>
      <c r="O39" s="4"/>
      <c r="P39" s="4"/>
    </row>
    <row r="40" spans="2:16" ht="15.75" x14ac:dyDescent="0.25">
      <c r="B40" s="4" t="s">
        <v>52</v>
      </c>
      <c r="C40" s="4"/>
      <c r="D40" s="4"/>
      <c r="E40" s="4"/>
      <c r="F40" s="4"/>
      <c r="G40" s="14">
        <f>(G6+G7+G8)/G24</f>
        <v>0.24621087845068393</v>
      </c>
      <c r="H40" s="14">
        <f t="shared" ref="H40:L40" si="6">(H6+H7+H8)/H24</f>
        <v>0.25865784875880909</v>
      </c>
      <c r="I40" s="14">
        <f t="shared" si="6"/>
        <v>0.34887033706925391</v>
      </c>
      <c r="J40" s="14">
        <f t="shared" si="6"/>
        <v>0.27720096433207642</v>
      </c>
      <c r="K40" s="14">
        <f t="shared" si="6"/>
        <v>0.29164304536713909</v>
      </c>
      <c r="L40" s="14">
        <f t="shared" si="6"/>
        <v>0.3235567923602839</v>
      </c>
      <c r="M40" s="14">
        <f t="shared" ref="M40" si="7">(M6+M7+M8)/M24</f>
        <v>0.23714761231538553</v>
      </c>
      <c r="N40" s="4"/>
      <c r="O40" s="4"/>
      <c r="P40" s="4"/>
    </row>
    <row r="41" spans="2:16" ht="15.75" x14ac:dyDescent="0.25">
      <c r="B41" s="4" t="s">
        <v>53</v>
      </c>
      <c r="C41" s="4"/>
      <c r="D41" s="4"/>
      <c r="E41" s="4"/>
      <c r="F41" s="4"/>
      <c r="G41" s="11">
        <v>173262</v>
      </c>
      <c r="H41" s="11">
        <v>250519</v>
      </c>
      <c r="I41" s="11">
        <v>296754</v>
      </c>
      <c r="J41" s="11">
        <v>270859</v>
      </c>
      <c r="K41" s="11">
        <v>245697</v>
      </c>
      <c r="L41" s="11">
        <v>266092</v>
      </c>
      <c r="M41" s="11">
        <v>266092</v>
      </c>
      <c r="N41" s="4"/>
      <c r="O41" s="4"/>
      <c r="P41" s="4"/>
    </row>
    <row r="42" spans="2:16" ht="15.75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2:16" ht="15.75" x14ac:dyDescent="0.25">
      <c r="B43" s="4"/>
      <c r="C43" s="4"/>
      <c r="D43" s="4"/>
      <c r="E43" s="4"/>
      <c r="F43" s="4"/>
      <c r="G43" s="11"/>
      <c r="H43" s="11"/>
      <c r="I43" s="11"/>
      <c r="J43" s="11"/>
      <c r="K43" s="11"/>
      <c r="L43" s="11"/>
      <c r="M43" s="4"/>
      <c r="N43" s="4"/>
      <c r="O43" s="4"/>
      <c r="P43" s="4"/>
    </row>
    <row r="44" spans="2:16" ht="15.75" x14ac:dyDescent="0.25">
      <c r="B44" s="4" t="s">
        <v>60</v>
      </c>
      <c r="C44" s="4"/>
      <c r="D44" s="4"/>
      <c r="E44" s="4"/>
      <c r="F44" s="4"/>
      <c r="G44" s="11"/>
      <c r="H44" s="11"/>
      <c r="I44" s="11"/>
      <c r="J44" s="11"/>
      <c r="K44" s="11"/>
      <c r="L44" s="11"/>
      <c r="M44" s="4"/>
      <c r="N44" s="4"/>
      <c r="O44" s="4"/>
      <c r="P44" s="4"/>
    </row>
    <row r="45" spans="2:16" ht="15.75" x14ac:dyDescent="0.25">
      <c r="B45" s="16" t="s">
        <v>40</v>
      </c>
      <c r="C45" s="4"/>
      <c r="D45" s="4"/>
      <c r="E45" s="4"/>
      <c r="F45" s="4"/>
      <c r="G45" s="11">
        <f>G22</f>
        <v>84000</v>
      </c>
      <c r="H45" s="11">
        <f t="shared" ref="H45:M45" si="8">H22</f>
        <v>155000</v>
      </c>
      <c r="I45" s="11">
        <f t="shared" si="8"/>
        <v>145200</v>
      </c>
      <c r="J45" s="11">
        <f t="shared" si="8"/>
        <v>128000</v>
      </c>
      <c r="K45" s="11">
        <f t="shared" si="8"/>
        <v>90787</v>
      </c>
      <c r="L45" s="11">
        <f t="shared" si="8"/>
        <v>94668</v>
      </c>
      <c r="M45" s="11">
        <f t="shared" si="8"/>
        <v>118839</v>
      </c>
      <c r="N45" s="4"/>
      <c r="O45" s="4"/>
      <c r="P45" s="4"/>
    </row>
    <row r="46" spans="2:16" ht="15.75" x14ac:dyDescent="0.25">
      <c r="B46" s="16" t="s">
        <v>41</v>
      </c>
      <c r="C46" s="4"/>
      <c r="D46" s="4"/>
      <c r="E46" s="4"/>
      <c r="F46" s="4"/>
      <c r="G46" s="11">
        <f>G23</f>
        <v>3678</v>
      </c>
      <c r="H46" s="11">
        <f t="shared" ref="H46:M46" si="9">H23</f>
        <v>3670</v>
      </c>
      <c r="I46" s="11">
        <f t="shared" si="9"/>
        <v>3664</v>
      </c>
      <c r="J46" s="11">
        <f t="shared" si="9"/>
        <v>0</v>
      </c>
      <c r="K46" s="11">
        <f t="shared" si="9"/>
        <v>0</v>
      </c>
      <c r="L46" s="11">
        <f t="shared" si="9"/>
        <v>0</v>
      </c>
      <c r="M46" s="11">
        <f t="shared" si="9"/>
        <v>0</v>
      </c>
      <c r="N46" s="4"/>
      <c r="O46" s="4"/>
      <c r="P46" s="4"/>
    </row>
    <row r="47" spans="2:16" ht="15.75" x14ac:dyDescent="0.25">
      <c r="B47" s="16" t="s">
        <v>43</v>
      </c>
      <c r="C47" s="4"/>
      <c r="D47" s="4"/>
      <c r="E47" s="4"/>
      <c r="F47" s="4"/>
      <c r="G47" s="11">
        <f>G25</f>
        <v>16786</v>
      </c>
      <c r="H47" s="11">
        <f t="shared" ref="H47:M47" si="10">H25</f>
        <v>13024</v>
      </c>
      <c r="I47" s="11">
        <f t="shared" si="10"/>
        <v>9279</v>
      </c>
      <c r="J47" s="11">
        <f t="shared" si="10"/>
        <v>0</v>
      </c>
      <c r="K47" s="11">
        <f t="shared" si="10"/>
        <v>0</v>
      </c>
      <c r="L47" s="11">
        <f t="shared" si="10"/>
        <v>0</v>
      </c>
      <c r="M47" s="11">
        <f t="shared" si="10"/>
        <v>0</v>
      </c>
      <c r="N47" s="4"/>
      <c r="O47" s="4"/>
      <c r="P47" s="4"/>
    </row>
    <row r="48" spans="2:16" ht="15.75" x14ac:dyDescent="0.25">
      <c r="B48" s="16" t="s">
        <v>44</v>
      </c>
      <c r="C48" s="4"/>
      <c r="D48" s="4"/>
      <c r="E48" s="4"/>
      <c r="F48" s="4"/>
      <c r="G48" s="11">
        <f>G26</f>
        <v>0</v>
      </c>
      <c r="H48" s="11">
        <f t="shared" ref="H48:M48" si="11">H26</f>
        <v>0</v>
      </c>
      <c r="I48" s="11">
        <f t="shared" si="11"/>
        <v>30994</v>
      </c>
      <c r="J48" s="11">
        <f t="shared" si="11"/>
        <v>30776</v>
      </c>
      <c r="K48" s="11">
        <f t="shared" si="11"/>
        <v>35207</v>
      </c>
      <c r="L48" s="11">
        <f t="shared" si="11"/>
        <v>38993</v>
      </c>
      <c r="M48" s="11">
        <f t="shared" si="11"/>
        <v>44795</v>
      </c>
      <c r="N48" s="4"/>
      <c r="O48" s="4"/>
      <c r="P48" s="4"/>
    </row>
    <row r="49" spans="2:16" ht="15.75" x14ac:dyDescent="0.25">
      <c r="B49" s="16" t="s">
        <v>46</v>
      </c>
      <c r="C49" s="4"/>
      <c r="D49" s="4"/>
      <c r="E49" s="4"/>
      <c r="F49" s="4"/>
      <c r="G49" s="11">
        <f>G28</f>
        <v>76990</v>
      </c>
      <c r="H49" s="11">
        <f t="shared" ref="H49:M49" si="12">H28</f>
        <v>87591</v>
      </c>
      <c r="I49" s="11">
        <f t="shared" si="12"/>
        <v>88085</v>
      </c>
      <c r="J49" s="11">
        <f t="shared" si="12"/>
        <v>80559</v>
      </c>
      <c r="K49" s="11">
        <f t="shared" si="12"/>
        <v>75290</v>
      </c>
      <c r="L49" s="11">
        <f t="shared" si="12"/>
        <v>65926</v>
      </c>
      <c r="M49" s="11">
        <f t="shared" si="12"/>
        <v>65063</v>
      </c>
      <c r="N49" s="4"/>
      <c r="O49" s="4"/>
      <c r="P49" s="4"/>
    </row>
    <row r="50" spans="2:16" ht="15.75" x14ac:dyDescent="0.25">
      <c r="B50" s="16" t="s">
        <v>61</v>
      </c>
      <c r="C50" s="4"/>
      <c r="D50" s="4"/>
      <c r="E50" s="4"/>
      <c r="F50" s="4"/>
      <c r="G50" s="11">
        <f>2640+4995</f>
        <v>7635</v>
      </c>
      <c r="H50" s="11">
        <f>2330+3425</f>
        <v>5755</v>
      </c>
      <c r="I50" s="11">
        <f>1851+2742</f>
        <v>4593</v>
      </c>
      <c r="J50" s="11">
        <f>1893+1585</f>
        <v>3478</v>
      </c>
      <c r="K50" s="11">
        <f>1954+1222</f>
        <v>3176</v>
      </c>
      <c r="L50" s="11">
        <f>3202+1289</f>
        <v>4491</v>
      </c>
      <c r="M50" s="11">
        <f>1272+2887</f>
        <v>4159</v>
      </c>
      <c r="N50" s="4"/>
      <c r="O50" s="4"/>
      <c r="P50" s="4"/>
    </row>
    <row r="51" spans="2:16" ht="15.75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2:16" ht="15.75" x14ac:dyDescent="0.25">
      <c r="B52" s="4" t="s">
        <v>62</v>
      </c>
      <c r="C52" s="4"/>
      <c r="D52" s="4"/>
      <c r="E52" s="4"/>
      <c r="F52" s="4"/>
      <c r="G52" s="11">
        <f>SUM(G45:G50)</f>
        <v>189089</v>
      </c>
      <c r="H52" s="11">
        <f t="shared" ref="H52:M52" si="13">SUM(H45:H50)</f>
        <v>265040</v>
      </c>
      <c r="I52" s="11">
        <f t="shared" si="13"/>
        <v>281815</v>
      </c>
      <c r="J52" s="11">
        <f t="shared" si="13"/>
        <v>242813</v>
      </c>
      <c r="K52" s="11">
        <f t="shared" si="13"/>
        <v>204460</v>
      </c>
      <c r="L52" s="11">
        <f t="shared" si="13"/>
        <v>204078</v>
      </c>
      <c r="M52" s="11">
        <f t="shared" si="13"/>
        <v>232856</v>
      </c>
      <c r="N52" s="4"/>
      <c r="O52" s="4"/>
      <c r="P52" s="4"/>
    </row>
    <row r="53" spans="2:16" ht="15.75" x14ac:dyDescent="0.25">
      <c r="B53" s="7" t="s">
        <v>54</v>
      </c>
      <c r="C53" s="4"/>
      <c r="D53" s="4"/>
      <c r="E53" s="4"/>
      <c r="F53" s="4"/>
      <c r="G53" s="10">
        <f>G52-G6-G7</f>
        <v>171914</v>
      </c>
      <c r="H53" s="10">
        <f t="shared" ref="H53:M53" si="14">H52-H6-H7</f>
        <v>239822</v>
      </c>
      <c r="I53" s="10">
        <f t="shared" si="14"/>
        <v>268208</v>
      </c>
      <c r="J53" s="10">
        <f t="shared" si="14"/>
        <v>227002</v>
      </c>
      <c r="K53" s="10">
        <f t="shared" si="14"/>
        <v>193150</v>
      </c>
      <c r="L53" s="10">
        <f t="shared" si="14"/>
        <v>187400</v>
      </c>
      <c r="M53" s="10">
        <f t="shared" si="14"/>
        <v>211457</v>
      </c>
      <c r="N53" s="4"/>
      <c r="O53" s="4"/>
      <c r="P53" s="4"/>
    </row>
    <row r="54" spans="2:16" ht="15.75" x14ac:dyDescent="0.25">
      <c r="B54" s="7" t="s">
        <v>97</v>
      </c>
      <c r="C54" s="4"/>
      <c r="D54" s="4"/>
      <c r="E54" s="4"/>
      <c r="F54" s="4"/>
      <c r="G54" s="10">
        <f>SUM(G45:G48)-M6-M7</f>
        <v>83065</v>
      </c>
      <c r="H54" s="10">
        <f t="shared" ref="H54:M54" si="15">SUM(H45:H48)-N6-N7</f>
        <v>171694</v>
      </c>
      <c r="I54" s="10">
        <f t="shared" si="15"/>
        <v>189137</v>
      </c>
      <c r="J54" s="10">
        <f t="shared" si="15"/>
        <v>158776</v>
      </c>
      <c r="K54" s="10">
        <f t="shared" si="15"/>
        <v>125994</v>
      </c>
      <c r="L54" s="10">
        <f t="shared" si="15"/>
        <v>133661</v>
      </c>
      <c r="M54" s="10">
        <f t="shared" si="15"/>
        <v>163634</v>
      </c>
      <c r="N54" s="4"/>
      <c r="O54" s="4"/>
      <c r="P54" s="4"/>
    </row>
    <row r="55" spans="2:16" ht="15.75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2:16" ht="15.75" x14ac:dyDescent="0.25">
      <c r="B56" s="4" t="s">
        <v>58</v>
      </c>
      <c r="C56" s="4"/>
      <c r="D56" s="4"/>
      <c r="E56" s="4"/>
      <c r="F56" s="4"/>
      <c r="G56" s="14">
        <f>G53/'Historical Financials'!G17</f>
        <v>3.0586414261822581</v>
      </c>
      <c r="H56" s="14">
        <f>H53/'Historical Financials'!H17</f>
        <v>5.9892612756605565</v>
      </c>
      <c r="I56" s="14">
        <f>I53/'Historical Financials'!I17</f>
        <v>5.6548176259751211</v>
      </c>
      <c r="J56" s="14">
        <f>J53/'Historical Financials'!J17</f>
        <v>4.0061061697021039</v>
      </c>
      <c r="K56" s="14">
        <f>K53/'Historical Financials'!K17</f>
        <v>3.8749347991814789</v>
      </c>
      <c r="L56" s="14">
        <f>L53/'Historical Financials'!L17</f>
        <v>2.4891084900648179</v>
      </c>
      <c r="M56" s="14"/>
      <c r="N56" s="4"/>
      <c r="O56" s="4"/>
      <c r="P56" s="4"/>
    </row>
    <row r="57" spans="2:16" ht="15.75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2:16" ht="15.75" x14ac:dyDescent="0.25">
      <c r="B58" s="4" t="s">
        <v>66</v>
      </c>
      <c r="C58" s="4"/>
      <c r="D58" s="4"/>
      <c r="E58" s="4"/>
      <c r="F58" s="4"/>
      <c r="G58" s="11">
        <f>'Historical Financials'!G14</f>
        <v>46633</v>
      </c>
      <c r="H58" s="11">
        <f>'Historical Financials'!H14</f>
        <v>28704</v>
      </c>
      <c r="I58" s="11">
        <f>'Historical Financials'!I14</f>
        <v>36446</v>
      </c>
      <c r="J58" s="11">
        <f>'Historical Financials'!J14</f>
        <v>46120</v>
      </c>
      <c r="K58" s="11">
        <f>'Historical Financials'!K14</f>
        <v>39923</v>
      </c>
      <c r="L58" s="11">
        <f>'Historical Financials'!L14</f>
        <v>65835</v>
      </c>
      <c r="M58" s="11">
        <f>'Historical Financials'!M14</f>
        <v>3532</v>
      </c>
      <c r="N58" s="4"/>
      <c r="O58" s="4"/>
      <c r="P58" s="4"/>
    </row>
    <row r="59" spans="2:16" ht="15.75" x14ac:dyDescent="0.25">
      <c r="B59" s="4" t="s">
        <v>63</v>
      </c>
      <c r="C59" s="4"/>
      <c r="D59" s="4"/>
      <c r="E59" s="4"/>
      <c r="F59" s="4"/>
      <c r="G59" s="11">
        <f>'Historical Financials'!G19</f>
        <v>-15770</v>
      </c>
      <c r="H59" s="11">
        <f>'Historical Financials'!H19</f>
        <v>-15555</v>
      </c>
      <c r="I59" s="11">
        <f>'Historical Financials'!I19</f>
        <v>-39555</v>
      </c>
      <c r="J59" s="11">
        <f>'Historical Financials'!J19</f>
        <v>-60040</v>
      </c>
      <c r="K59" s="11">
        <f>'Historical Financials'!K19</f>
        <v>-55550</v>
      </c>
      <c r="L59" s="11">
        <f>'Historical Financials'!L19</f>
        <v>-46696</v>
      </c>
      <c r="M59" s="11">
        <f>'Historical Financials'!M19</f>
        <v>-12044</v>
      </c>
      <c r="N59" s="4"/>
      <c r="O59" s="4"/>
      <c r="P59" s="4"/>
    </row>
    <row r="60" spans="2:16" ht="15.75" x14ac:dyDescent="0.25">
      <c r="B60" s="4" t="s">
        <v>65</v>
      </c>
      <c r="C60" s="4"/>
      <c r="D60" s="4"/>
      <c r="E60" s="4"/>
      <c r="F60" s="4"/>
      <c r="G60" s="14">
        <f>-G58/G59</f>
        <v>2.9570703868103996</v>
      </c>
      <c r="H60" s="14">
        <f t="shared" ref="H60:M60" si="16">-H58/H59</f>
        <v>1.8453230472516875</v>
      </c>
      <c r="I60" s="14">
        <f t="shared" si="16"/>
        <v>0.92140058146884085</v>
      </c>
      <c r="J60" s="14">
        <f t="shared" si="16"/>
        <v>0.7681545636242505</v>
      </c>
      <c r="K60" s="14">
        <f t="shared" si="16"/>
        <v>0.71868586858685868</v>
      </c>
      <c r="L60" s="14">
        <f t="shared" si="16"/>
        <v>1.4098637998972074</v>
      </c>
      <c r="M60" s="14">
        <f t="shared" si="16"/>
        <v>0.29325805380272335</v>
      </c>
      <c r="N60" s="4"/>
      <c r="O60" s="4"/>
      <c r="P60" s="4"/>
    </row>
    <row r="61" spans="2:16" ht="15.75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2:16" ht="15.75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2:16" ht="26.25" x14ac:dyDescent="0.4">
      <c r="B63" s="1" t="s">
        <v>72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4"/>
      <c r="P63" s="4"/>
    </row>
    <row r="64" spans="2:16" ht="15.75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O64" s="4"/>
      <c r="P64" s="4"/>
    </row>
    <row r="65" spans="2:16" ht="16.5" thickBot="1" x14ac:dyDescent="0.3">
      <c r="B65" s="5" t="s">
        <v>1</v>
      </c>
      <c r="C65" s="4"/>
      <c r="D65" s="4"/>
      <c r="E65" s="4"/>
      <c r="F65" s="4"/>
      <c r="G65" s="6">
        <v>2021</v>
      </c>
      <c r="H65" s="6">
        <v>2022</v>
      </c>
      <c r="I65" s="6">
        <v>2023</v>
      </c>
      <c r="J65" s="6">
        <v>2024</v>
      </c>
      <c r="K65" s="6">
        <v>2025</v>
      </c>
      <c r="L65" s="6">
        <v>2026</v>
      </c>
      <c r="M65" s="17" t="s">
        <v>57</v>
      </c>
      <c r="O65" s="4"/>
      <c r="P65" s="4"/>
    </row>
    <row r="66" spans="2:16" ht="15.75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2:16" ht="15.75" x14ac:dyDescent="0.25">
      <c r="B67" s="4" t="s">
        <v>71</v>
      </c>
      <c r="C67" s="4"/>
      <c r="D67" s="4"/>
      <c r="E67" s="4"/>
      <c r="F67" s="4"/>
      <c r="G67" s="11">
        <v>19105</v>
      </c>
      <c r="H67" s="11">
        <v>19045</v>
      </c>
      <c r="I67" s="11">
        <v>19662</v>
      </c>
      <c r="J67" s="11">
        <v>19495</v>
      </c>
      <c r="K67" s="11">
        <v>19436</v>
      </c>
      <c r="L67" s="11">
        <v>18925</v>
      </c>
      <c r="M67" s="11">
        <v>18933</v>
      </c>
      <c r="N67" s="4"/>
      <c r="O67" s="4"/>
      <c r="P67" s="4"/>
    </row>
    <row r="68" spans="2:16" ht="15.75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2:16" ht="15.75" x14ac:dyDescent="0.25">
      <c r="B69" s="4" t="s">
        <v>67</v>
      </c>
      <c r="C69" s="4"/>
      <c r="D69" s="4"/>
      <c r="E69" s="4"/>
      <c r="F69" s="4"/>
      <c r="G69" s="11">
        <f>G31</f>
        <v>301145</v>
      </c>
      <c r="H69" s="11">
        <f t="shared" ref="H69:M69" si="17">H31</f>
        <v>315263</v>
      </c>
      <c r="I69" s="11">
        <f t="shared" si="17"/>
        <v>320475</v>
      </c>
      <c r="J69" s="11">
        <f t="shared" si="17"/>
        <v>285110</v>
      </c>
      <c r="K69" s="11">
        <f t="shared" si="17"/>
        <v>257699</v>
      </c>
      <c r="L69" s="11">
        <f t="shared" si="17"/>
        <v>266010</v>
      </c>
      <c r="M69" s="11">
        <f t="shared" si="17"/>
        <v>252989</v>
      </c>
      <c r="N69" s="4"/>
      <c r="O69" s="4"/>
      <c r="P69" s="4"/>
    </row>
    <row r="70" spans="2:16" ht="15.75" x14ac:dyDescent="0.25">
      <c r="B70" s="7" t="s">
        <v>69</v>
      </c>
      <c r="C70" s="7"/>
      <c r="D70" s="7"/>
      <c r="E70" s="7"/>
      <c r="F70" s="7"/>
      <c r="G70" s="19">
        <f>G69/G67</f>
        <v>15.762627584401988</v>
      </c>
      <c r="H70" s="19">
        <f t="shared" ref="H70:M70" si="18">H69/H67</f>
        <v>16.553583617747439</v>
      </c>
      <c r="I70" s="19">
        <f t="shared" si="18"/>
        <v>16.299206591394569</v>
      </c>
      <c r="J70" s="19">
        <f t="shared" si="18"/>
        <v>14.624775583482945</v>
      </c>
      <c r="K70" s="19">
        <f t="shared" si="18"/>
        <v>13.258849557522124</v>
      </c>
      <c r="L70" s="19">
        <f t="shared" si="18"/>
        <v>14.056010568031704</v>
      </c>
      <c r="M70" s="19">
        <f t="shared" si="18"/>
        <v>13.36233032271695</v>
      </c>
      <c r="N70" s="4"/>
      <c r="O70" s="4"/>
      <c r="P70" s="4"/>
    </row>
    <row r="71" spans="2:16" ht="15.75" x14ac:dyDescent="0.25">
      <c r="B71" s="4"/>
      <c r="C71" s="4"/>
      <c r="D71" s="4"/>
      <c r="E71" s="4"/>
      <c r="F71" s="4"/>
      <c r="G71" s="11"/>
      <c r="H71" s="11"/>
      <c r="I71" s="11"/>
      <c r="J71" s="11"/>
      <c r="K71" s="11"/>
      <c r="L71" s="11"/>
      <c r="M71" s="11"/>
      <c r="N71" s="4"/>
      <c r="O71" s="4"/>
      <c r="P71" s="4"/>
    </row>
    <row r="72" spans="2:16" ht="15.75" x14ac:dyDescent="0.25">
      <c r="B72" s="4" t="s">
        <v>68</v>
      </c>
      <c r="C72" s="4"/>
      <c r="D72" s="4"/>
      <c r="E72" s="4"/>
      <c r="F72" s="4"/>
      <c r="G72" s="11">
        <f>G31-G16</f>
        <v>292611</v>
      </c>
      <c r="H72" s="11">
        <f t="shared" ref="H72:M72" si="19">H31-H16</f>
        <v>308259</v>
      </c>
      <c r="I72" s="11">
        <f t="shared" si="19"/>
        <v>315127</v>
      </c>
      <c r="J72" s="11">
        <f t="shared" si="19"/>
        <v>280836</v>
      </c>
      <c r="K72" s="11">
        <f t="shared" si="19"/>
        <v>253942</v>
      </c>
      <c r="L72" s="11">
        <f t="shared" si="19"/>
        <v>262570</v>
      </c>
      <c r="M72" s="11">
        <f t="shared" si="19"/>
        <v>245634</v>
      </c>
      <c r="N72" s="4"/>
      <c r="O72" s="4"/>
      <c r="P72" s="4"/>
    </row>
    <row r="73" spans="2:16" ht="15.75" x14ac:dyDescent="0.25">
      <c r="B73" s="7" t="s">
        <v>70</v>
      </c>
      <c r="C73" s="7"/>
      <c r="D73" s="7"/>
      <c r="E73" s="7"/>
      <c r="F73" s="7"/>
      <c r="G73" s="19">
        <f>G72/G67</f>
        <v>15.315938236063857</v>
      </c>
      <c r="H73" s="19">
        <f t="shared" ref="H73:M73" si="20">H72/H67</f>
        <v>16.185823050669466</v>
      </c>
      <c r="I73" s="19">
        <f t="shared" si="20"/>
        <v>16.027209846404233</v>
      </c>
      <c r="J73" s="19">
        <f t="shared" si="20"/>
        <v>14.405539882021031</v>
      </c>
      <c r="K73" s="19">
        <f t="shared" si="20"/>
        <v>13.065548466762708</v>
      </c>
      <c r="L73" s="19">
        <f t="shared" si="20"/>
        <v>13.874240422721268</v>
      </c>
      <c r="M73" s="19">
        <f t="shared" si="20"/>
        <v>12.973855173506577</v>
      </c>
      <c r="N73" s="4"/>
      <c r="O73" s="4"/>
      <c r="P73" s="4"/>
    </row>
    <row r="74" spans="2:16" ht="15.75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2:16" ht="15.75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2:16" ht="26.25" x14ac:dyDescent="0.4">
      <c r="B76" s="1" t="s">
        <v>83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4"/>
      <c r="P76" s="4"/>
    </row>
    <row r="77" spans="2:16" ht="15.75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2:16" ht="15.75" x14ac:dyDescent="0.2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2:16" ht="15.75" x14ac:dyDescent="0.25">
      <c r="B79" s="4"/>
      <c r="C79" s="4"/>
      <c r="D79" s="4"/>
      <c r="E79" s="4"/>
      <c r="F79" s="4"/>
      <c r="G79" s="27" t="s">
        <v>57</v>
      </c>
      <c r="H79" s="4"/>
      <c r="I79" s="4"/>
      <c r="J79" s="4"/>
      <c r="K79" s="4"/>
      <c r="L79" s="4"/>
      <c r="M79" s="4"/>
      <c r="N79" s="4"/>
      <c r="O79" s="4"/>
      <c r="P79" s="4"/>
    </row>
    <row r="80" spans="2:16" ht="15.75" x14ac:dyDescent="0.25">
      <c r="B80" s="4" t="s">
        <v>84</v>
      </c>
      <c r="C80" s="4"/>
      <c r="D80" s="4"/>
      <c r="E80" s="4"/>
      <c r="F80" s="4"/>
      <c r="G80" s="11">
        <v>118839</v>
      </c>
      <c r="H80" s="4"/>
      <c r="I80" s="4"/>
      <c r="J80" s="4"/>
      <c r="K80" s="4"/>
      <c r="L80" s="4"/>
      <c r="M80" s="4"/>
      <c r="N80" s="4"/>
      <c r="O80" s="4"/>
      <c r="P80" s="4"/>
    </row>
    <row r="81" spans="2:16" ht="15.75" x14ac:dyDescent="0.25">
      <c r="B81" s="4" t="s">
        <v>88</v>
      </c>
      <c r="C81" s="4"/>
      <c r="D81" s="4"/>
      <c r="E81" s="4"/>
      <c r="F81" s="4"/>
      <c r="G81" s="11">
        <v>42603</v>
      </c>
      <c r="H81" s="4"/>
      <c r="I81" s="4"/>
      <c r="J81" s="4"/>
      <c r="K81" s="4"/>
      <c r="L81" s="4"/>
      <c r="M81" s="4"/>
      <c r="N81" s="4"/>
      <c r="O81" s="4"/>
      <c r="P81" s="4"/>
    </row>
    <row r="82" spans="2:16" ht="15.75" x14ac:dyDescent="0.25">
      <c r="B82" s="4" t="s">
        <v>89</v>
      </c>
      <c r="C82" s="4"/>
      <c r="D82" s="4"/>
      <c r="E82" s="4"/>
      <c r="F82" s="4"/>
      <c r="G82" s="11">
        <v>4159</v>
      </c>
      <c r="H82" s="4"/>
      <c r="I82" s="4"/>
      <c r="J82" s="4"/>
      <c r="K82" s="4"/>
      <c r="L82" s="4"/>
      <c r="M82" s="4"/>
      <c r="N82" s="4"/>
      <c r="O82" s="4"/>
      <c r="P82" s="4"/>
    </row>
    <row r="83" spans="2:16" ht="15.75" x14ac:dyDescent="0.25">
      <c r="B83" s="4" t="s">
        <v>90</v>
      </c>
      <c r="C83" s="4"/>
      <c r="D83" s="4"/>
      <c r="E83" s="4"/>
      <c r="F83" s="4"/>
      <c r="G83" s="11">
        <v>65063</v>
      </c>
      <c r="H83" s="4"/>
      <c r="I83" s="4"/>
      <c r="J83" s="4"/>
      <c r="K83" s="4"/>
      <c r="L83" s="4"/>
      <c r="M83" s="4"/>
      <c r="N83" s="4"/>
      <c r="O83" s="4"/>
      <c r="P83" s="4"/>
    </row>
    <row r="84" spans="2:16" ht="15.75" x14ac:dyDescent="0.25">
      <c r="B84" s="4" t="s">
        <v>85</v>
      </c>
      <c r="C84" s="4"/>
      <c r="D84" s="4"/>
      <c r="E84" s="4"/>
      <c r="F84" s="4"/>
      <c r="G84" s="11">
        <v>19120</v>
      </c>
      <c r="H84" s="4"/>
      <c r="I84" s="4"/>
      <c r="J84" s="4"/>
      <c r="K84" s="4"/>
      <c r="L84" s="4"/>
      <c r="M84" s="4"/>
      <c r="N84" s="4"/>
      <c r="O84" s="4"/>
      <c r="P84" s="4"/>
    </row>
    <row r="85" spans="2:16" ht="15.75" x14ac:dyDescent="0.25">
      <c r="B85" s="7" t="s">
        <v>86</v>
      </c>
      <c r="C85" s="4"/>
      <c r="D85" s="4"/>
      <c r="E85" s="4"/>
      <c r="F85" s="4"/>
      <c r="G85" s="10">
        <f>G80+G81-G84</f>
        <v>142322</v>
      </c>
      <c r="H85" s="4"/>
      <c r="I85" s="4"/>
      <c r="J85" s="4"/>
      <c r="K85" s="4"/>
      <c r="L85" s="4"/>
      <c r="M85" s="4"/>
      <c r="N85" s="4"/>
      <c r="O85" s="4"/>
      <c r="P85" s="4"/>
    </row>
    <row r="86" spans="2:16" ht="15.75" x14ac:dyDescent="0.25">
      <c r="B86" s="7" t="s">
        <v>87</v>
      </c>
      <c r="C86" s="4"/>
      <c r="D86" s="4"/>
      <c r="E86" s="4"/>
      <c r="F86" s="4"/>
      <c r="G86" s="10">
        <f>SUM(G80:G83)-G84</f>
        <v>211544</v>
      </c>
      <c r="H86" s="4"/>
      <c r="I86" s="4"/>
      <c r="J86" s="4"/>
      <c r="K86" s="4"/>
      <c r="L86" s="4"/>
      <c r="M86" s="4"/>
      <c r="N86" s="4"/>
      <c r="O86" s="4"/>
      <c r="P86" s="4"/>
    </row>
    <row r="87" spans="2:16" ht="15.75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2:16" ht="15.75" x14ac:dyDescent="0.25">
      <c r="B88" s="4" t="s">
        <v>91</v>
      </c>
      <c r="C88" s="4"/>
      <c r="D88" s="4"/>
      <c r="E88" s="4"/>
      <c r="F88" s="4"/>
      <c r="G88" s="28">
        <v>2026</v>
      </c>
      <c r="H88" s="29">
        <f>G88+1</f>
        <v>2027</v>
      </c>
      <c r="I88" s="29">
        <f t="shared" ref="I88:J88" si="21">H88+1</f>
        <v>2028</v>
      </c>
      <c r="J88" s="29">
        <f t="shared" si="21"/>
        <v>2029</v>
      </c>
      <c r="K88" s="28"/>
      <c r="L88" s="4"/>
      <c r="M88" s="4"/>
      <c r="N88" s="4"/>
      <c r="O88" s="4"/>
      <c r="P88" s="4"/>
    </row>
    <row r="89" spans="2:16" ht="15.75" x14ac:dyDescent="0.25">
      <c r="B89" s="4" t="s">
        <v>92</v>
      </c>
      <c r="C89" s="4"/>
      <c r="D89" s="4"/>
      <c r="E89" s="4"/>
      <c r="F89" s="4"/>
      <c r="G89" s="11">
        <v>42603</v>
      </c>
      <c r="H89" s="11">
        <f>G91</f>
        <v>42603</v>
      </c>
      <c r="I89" s="11">
        <f t="shared" ref="I89:J89" si="22">H91</f>
        <v>46863.3</v>
      </c>
      <c r="J89" s="11">
        <f t="shared" si="22"/>
        <v>51549.630000000005</v>
      </c>
      <c r="K89" s="4"/>
      <c r="L89" s="4"/>
      <c r="M89" s="4"/>
      <c r="N89" s="4"/>
      <c r="O89" s="4"/>
      <c r="P89" s="4"/>
    </row>
    <row r="90" spans="2:16" ht="15.75" x14ac:dyDescent="0.25">
      <c r="B90" s="4" t="s">
        <v>93</v>
      </c>
      <c r="C90" s="4"/>
      <c r="D90" s="4"/>
      <c r="E90" s="4"/>
      <c r="F90" s="4"/>
      <c r="G90" s="11">
        <v>0</v>
      </c>
      <c r="H90" s="11">
        <f>G91*0.1</f>
        <v>4260.3</v>
      </c>
      <c r="I90" s="11">
        <f t="shared" ref="I90:J90" si="23">H91*0.1</f>
        <v>4686.3300000000008</v>
      </c>
      <c r="J90" s="11">
        <f t="shared" si="23"/>
        <v>5154.9630000000006</v>
      </c>
      <c r="K90" s="4"/>
      <c r="L90" s="4"/>
      <c r="M90" s="4"/>
      <c r="N90" s="4"/>
      <c r="O90" s="4"/>
      <c r="P90" s="4"/>
    </row>
    <row r="91" spans="2:16" ht="15.75" x14ac:dyDescent="0.25">
      <c r="B91" s="7" t="s">
        <v>94</v>
      </c>
      <c r="C91" s="7"/>
      <c r="D91" s="7"/>
      <c r="E91" s="7"/>
      <c r="F91" s="7"/>
      <c r="G91" s="10">
        <f>G89+G90</f>
        <v>42603</v>
      </c>
      <c r="H91" s="10">
        <f t="shared" ref="H91:J91" si="24">H89+H90</f>
        <v>46863.3</v>
      </c>
      <c r="I91" s="10">
        <f t="shared" si="24"/>
        <v>51549.630000000005</v>
      </c>
      <c r="J91" s="10">
        <f t="shared" si="24"/>
        <v>56704.593000000008</v>
      </c>
      <c r="K91" s="4"/>
      <c r="L91" s="4"/>
      <c r="M91" s="4"/>
      <c r="N91" s="4"/>
      <c r="O91" s="4"/>
      <c r="P91" s="4"/>
    </row>
    <row r="92" spans="2:16" ht="15.75" x14ac:dyDescent="0.25">
      <c r="B92" s="4" t="s">
        <v>95</v>
      </c>
      <c r="C92" s="4"/>
      <c r="D92" s="4"/>
      <c r="E92" s="4"/>
      <c r="F92" s="4"/>
      <c r="G92" s="30">
        <v>15</v>
      </c>
      <c r="H92" s="30">
        <v>15</v>
      </c>
      <c r="I92" s="30">
        <v>15</v>
      </c>
      <c r="J92" s="30">
        <v>15</v>
      </c>
      <c r="K92" s="4"/>
      <c r="L92" s="4"/>
      <c r="M92" s="4"/>
      <c r="N92" s="4"/>
      <c r="O92" s="4"/>
      <c r="P92" s="4"/>
    </row>
    <row r="93" spans="2:16" ht="15.75" x14ac:dyDescent="0.25">
      <c r="B93" s="7" t="s">
        <v>96</v>
      </c>
      <c r="C93" s="4"/>
      <c r="D93" s="4"/>
      <c r="E93" s="4"/>
      <c r="F93" s="4"/>
      <c r="G93" s="10">
        <f>G91/G92</f>
        <v>2840.2</v>
      </c>
      <c r="H93" s="10">
        <f t="shared" ref="H93:J93" si="25">H91/H92</f>
        <v>3124.2200000000003</v>
      </c>
      <c r="I93" s="10">
        <f t="shared" si="25"/>
        <v>3436.6420000000003</v>
      </c>
      <c r="J93" s="10">
        <f t="shared" si="25"/>
        <v>3780.3062000000004</v>
      </c>
      <c r="K93" s="4"/>
      <c r="L93" s="4"/>
      <c r="M93" s="4"/>
      <c r="N93" s="4"/>
      <c r="O93" s="4"/>
      <c r="P93" s="4"/>
    </row>
    <row r="94" spans="2:16" ht="15.75" x14ac:dyDescent="0.25">
      <c r="B94" s="4"/>
      <c r="C94" s="4"/>
      <c r="D94" s="4"/>
      <c r="E94" s="4"/>
      <c r="F94" s="4"/>
      <c r="G94" s="4"/>
      <c r="I94" s="25"/>
      <c r="J94" s="4"/>
      <c r="K94" s="4"/>
      <c r="L94" s="4"/>
      <c r="M94" s="4"/>
      <c r="N94" s="4"/>
      <c r="O94" s="4"/>
      <c r="P94" s="4"/>
    </row>
    <row r="95" spans="2:16" ht="15.75" x14ac:dyDescent="0.25">
      <c r="B95" s="4"/>
      <c r="C95" s="4"/>
      <c r="D95" s="4"/>
      <c r="E95" s="4"/>
      <c r="F95" s="4"/>
      <c r="G95" s="4"/>
      <c r="H95" s="24"/>
      <c r="I95" s="26"/>
      <c r="J95" s="4"/>
      <c r="K95" s="4"/>
      <c r="L95" s="4"/>
      <c r="M95" s="4"/>
      <c r="N95" s="4"/>
      <c r="O95" s="4"/>
      <c r="P95" s="4"/>
    </row>
    <row r="96" spans="2:16" ht="15.75" x14ac:dyDescent="0.25">
      <c r="B96" s="4"/>
      <c r="C96" s="4"/>
      <c r="D96" s="4"/>
      <c r="E96" s="4"/>
      <c r="F96" s="4"/>
      <c r="G96" s="4"/>
      <c r="H96" s="24"/>
      <c r="I96" s="26"/>
      <c r="J96" s="4"/>
      <c r="K96" s="4"/>
      <c r="L96" s="4"/>
      <c r="M96" s="4"/>
      <c r="N96" s="4"/>
      <c r="O96" s="4"/>
      <c r="P96" s="4"/>
    </row>
    <row r="97" spans="2:16" ht="15.75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2:16" ht="15.75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2:16" ht="15.75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2:16" ht="15.75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2:16" ht="15.75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2:16" ht="15.75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2:16" ht="15.75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2:16" ht="15.75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2:16" ht="15.75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2:16" ht="15.75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2:16" ht="15.75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2:16" ht="15.75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2:16" ht="15.75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2:16" ht="15.75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2:16" ht="15.75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2:16" ht="15.75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2:16" ht="15.75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2:16" ht="15.75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2:16" ht="15.75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2:16" ht="15.75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2:16" ht="15.75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2:16" ht="15.75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2:16" ht="15.75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2:16" ht="15.75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2:16" ht="15.75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2:16" ht="15.75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2:16" ht="15.75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2:16" ht="15.75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2:16" ht="15.75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2:16" ht="15.75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2:16" ht="15.75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2:16" ht="15.75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2:16" ht="15.75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2:16" ht="15.75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2:16" ht="15.75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2:16" ht="15.75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2:16" ht="15.75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2:16" ht="15.75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2:16" ht="15.75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2:16" ht="15.75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2:16" ht="15.75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2:16" ht="15.75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2:16" ht="15.75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2:16" ht="15.75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2:16" ht="15.75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2:16" ht="15.75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2:16" ht="15.75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2:16" ht="15.75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2:16" ht="15.75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2:16" ht="15.75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2:16" ht="15.75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2:16" ht="15.75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2:16" ht="15.75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2:16" ht="15.75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2:16" ht="15.75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2:16" ht="15.75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2:16" ht="15.75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2:16" ht="15.75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2:16" ht="15.75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2:16" ht="15.75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2:16" ht="15.75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2:16" ht="15.75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2:16" ht="15.75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2:16" ht="15.75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2:16" ht="15.75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2:16" ht="15.75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2:16" ht="15.75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2:16" ht="15.75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2:16" ht="15.75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2:16" ht="15.75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2:16" ht="15.75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2:16" ht="15.75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2:16" ht="15.75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2:16" ht="15.75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2:16" ht="15.75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2:16" ht="15.75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2:16" ht="15.75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2:16" ht="15.75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2:16" ht="15.75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2:16" ht="15.75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2:16" ht="15.75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2:16" ht="15.75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2:16" ht="15.75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2:16" ht="15.75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2:16" ht="15.75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2:16" ht="15.75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2:16" ht="15.75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2:16" ht="15.75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2:16" ht="15.75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2:16" ht="15.75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2:16" ht="15.75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2:16" ht="15.75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2:16" ht="15.75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2:16" ht="15.75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2:16" ht="15.75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2:16" ht="15.75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2:16" ht="15.75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2:16" ht="15.75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2:16" ht="15.75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2:16" ht="15.75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2:16" ht="15.75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2:16" ht="15.75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2:16" ht="15.75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2:16" ht="15.75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2:16" ht="15.75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2:16" ht="15.75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2:16" ht="15.75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2:16" ht="15.75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2:16" ht="15.75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2:16" ht="15.75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2:16" ht="15.75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2:16" ht="15.75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2:16" ht="15.75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2:16" ht="15.75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2:16" ht="15.75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2:16" ht="15.75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2:16" ht="15.75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2:16" ht="15.75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2:16" ht="15.75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2:16" ht="15.75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2:16" ht="15.75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2:16" ht="15.75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2:16" ht="15.75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2:16" ht="15.75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2:16" ht="15.75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2:16" ht="15.75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2:16" ht="15.75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2:16" ht="15.75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2:16" ht="15.75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2:16" ht="15.75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2:16" ht="15.75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2:16" ht="15.75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2:16" ht="15.75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2:16" ht="15.75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2:16" ht="15.75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2:16" ht="15.75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2:16" ht="15.75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2:16" ht="15.75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2:16" ht="15.75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2:16" ht="15.75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2:16" ht="15.75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2:16" ht="15.75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2:16" ht="15.75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2:16" ht="15.75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2:16" ht="15.75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2:16" ht="15.75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2:16" ht="15.75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2:16" ht="15.75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2:16" ht="15.75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2:16" ht="15.75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2:16" ht="15.75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2:16" ht="15.75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2:16" ht="15.75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0F5C-3C40-4DFE-BED1-B714C3C0CEF2}">
  <dimension ref="B2:T87"/>
  <sheetViews>
    <sheetView showGridLines="0" tabSelected="1" topLeftCell="B51" zoomScale="90" zoomScaleNormal="90" workbookViewId="0">
      <selection activeCell="F60" sqref="F60"/>
    </sheetView>
  </sheetViews>
  <sheetFormatPr defaultColWidth="9.140625" defaultRowHeight="15.75" x14ac:dyDescent="0.25"/>
  <cols>
    <col min="1" max="5" width="9.140625" style="4"/>
    <col min="6" max="6" width="23" style="4" customWidth="1"/>
    <col min="7" max="13" width="12.85546875" style="4" customWidth="1"/>
    <col min="14" max="16384" width="9.140625" style="4"/>
  </cols>
  <sheetData>
    <row r="2" spans="2:20" ht="26.25" x14ac:dyDescent="0.4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20" x14ac:dyDescent="0.25">
      <c r="B3" s="3"/>
      <c r="C3" s="3"/>
      <c r="D3" s="3"/>
      <c r="E3" s="3"/>
      <c r="F3" s="3"/>
      <c r="G3" s="3"/>
      <c r="H3" s="3"/>
      <c r="I3" s="3"/>
      <c r="J3" s="3"/>
      <c r="K3" s="3"/>
    </row>
    <row r="5" spans="2:20" ht="26.25" x14ac:dyDescent="0.4">
      <c r="B5" s="1" t="s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7" spans="2:20" ht="16.5" thickBot="1" x14ac:dyDescent="0.3">
      <c r="B7" s="5" t="s">
        <v>1</v>
      </c>
      <c r="G7" s="6">
        <v>2021</v>
      </c>
      <c r="H7" s="6">
        <f t="shared" ref="H7:L7" si="0">G7+1</f>
        <v>2022</v>
      </c>
      <c r="I7" s="6">
        <f t="shared" si="0"/>
        <v>2023</v>
      </c>
      <c r="J7" s="6">
        <f t="shared" si="0"/>
        <v>2024</v>
      </c>
      <c r="K7" s="6">
        <f t="shared" si="0"/>
        <v>2025</v>
      </c>
      <c r="L7" s="6">
        <f t="shared" si="0"/>
        <v>2026</v>
      </c>
      <c r="M7" s="17" t="s">
        <v>57</v>
      </c>
    </row>
    <row r="9" spans="2:20" x14ac:dyDescent="0.25">
      <c r="B9" s="4" t="s">
        <v>4</v>
      </c>
      <c r="G9" s="8">
        <v>540782</v>
      </c>
      <c r="H9" s="8">
        <v>650308</v>
      </c>
      <c r="I9" s="8">
        <v>683074</v>
      </c>
      <c r="J9" s="8">
        <v>717684</v>
      </c>
      <c r="K9" s="8">
        <v>757354</v>
      </c>
      <c r="L9" s="8">
        <v>789806</v>
      </c>
      <c r="M9" s="8">
        <v>168021</v>
      </c>
      <c r="T9" s="15"/>
    </row>
    <row r="10" spans="2:20" ht="16.5" thickBot="1" x14ac:dyDescent="0.3">
      <c r="B10" s="4" t="s">
        <v>5</v>
      </c>
      <c r="G10" s="9">
        <v>-431321</v>
      </c>
      <c r="H10" s="9">
        <f>-532443</f>
        <v>-532443</v>
      </c>
      <c r="I10" s="9">
        <v>-569112</v>
      </c>
      <c r="J10" s="9">
        <v>-585133</v>
      </c>
      <c r="K10" s="9">
        <v>-603526</v>
      </c>
      <c r="L10" s="9">
        <v>-629905</v>
      </c>
      <c r="M10" s="9">
        <v>-140847</v>
      </c>
    </row>
    <row r="11" spans="2:20" x14ac:dyDescent="0.25">
      <c r="B11" s="7" t="s">
        <v>6</v>
      </c>
      <c r="G11" s="10">
        <f t="shared" ref="G11:M11" si="1">SUM(G9:G10)</f>
        <v>109461</v>
      </c>
      <c r="H11" s="10">
        <f t="shared" si="1"/>
        <v>117865</v>
      </c>
      <c r="I11" s="10">
        <f t="shared" si="1"/>
        <v>113962</v>
      </c>
      <c r="J11" s="10">
        <f t="shared" si="1"/>
        <v>132551</v>
      </c>
      <c r="K11" s="10">
        <f t="shared" si="1"/>
        <v>153828</v>
      </c>
      <c r="L11" s="10">
        <f t="shared" si="1"/>
        <v>159901</v>
      </c>
      <c r="M11" s="10">
        <f t="shared" si="1"/>
        <v>27174</v>
      </c>
      <c r="P11" s="15"/>
    </row>
    <row r="13" spans="2:20" ht="16.5" thickBot="1" x14ac:dyDescent="0.3">
      <c r="B13" s="4" t="s">
        <v>7</v>
      </c>
      <c r="G13" s="9">
        <v>-62828</v>
      </c>
      <c r="H13" s="9">
        <v>-89161</v>
      </c>
      <c r="I13" s="9">
        <v>-77516</v>
      </c>
      <c r="J13" s="9">
        <v>-86431</v>
      </c>
      <c r="K13" s="9">
        <v>-113905</v>
      </c>
      <c r="L13" s="9">
        <v>-94066</v>
      </c>
      <c r="M13" s="9">
        <v>-23642</v>
      </c>
      <c r="Q13" s="15"/>
    </row>
    <row r="14" spans="2:20" x14ac:dyDescent="0.25">
      <c r="B14" s="7" t="s">
        <v>56</v>
      </c>
      <c r="G14" s="10">
        <f t="shared" ref="G14:M14" si="2">G11+G13</f>
        <v>46633</v>
      </c>
      <c r="H14" s="10">
        <f t="shared" si="2"/>
        <v>28704</v>
      </c>
      <c r="I14" s="10">
        <f t="shared" si="2"/>
        <v>36446</v>
      </c>
      <c r="J14" s="10">
        <f t="shared" si="2"/>
        <v>46120</v>
      </c>
      <c r="K14" s="10">
        <f t="shared" si="2"/>
        <v>39923</v>
      </c>
      <c r="L14" s="10">
        <f t="shared" si="2"/>
        <v>65835</v>
      </c>
      <c r="M14" s="10">
        <f t="shared" si="2"/>
        <v>3532</v>
      </c>
    </row>
    <row r="16" spans="2:20" ht="16.5" thickBot="1" x14ac:dyDescent="0.3">
      <c r="B16" s="4" t="s">
        <v>8</v>
      </c>
      <c r="G16" s="9">
        <v>9573</v>
      </c>
      <c r="H16" s="9">
        <v>11338</v>
      </c>
      <c r="I16" s="9">
        <v>10984</v>
      </c>
      <c r="J16" s="9">
        <v>10544</v>
      </c>
      <c r="K16" s="9">
        <v>9923</v>
      </c>
      <c r="L16" s="9">
        <v>9453</v>
      </c>
      <c r="M16" s="9">
        <v>2742</v>
      </c>
    </row>
    <row r="17" spans="2:14" x14ac:dyDescent="0.25">
      <c r="B17" s="7" t="s">
        <v>9</v>
      </c>
      <c r="G17" s="10">
        <f t="shared" ref="G17:M17" si="3">G16+G14</f>
        <v>56206</v>
      </c>
      <c r="H17" s="10">
        <f t="shared" si="3"/>
        <v>40042</v>
      </c>
      <c r="I17" s="10">
        <f t="shared" si="3"/>
        <v>47430</v>
      </c>
      <c r="J17" s="10">
        <f t="shared" si="3"/>
        <v>56664</v>
      </c>
      <c r="K17" s="10">
        <f t="shared" si="3"/>
        <v>49846</v>
      </c>
      <c r="L17" s="10">
        <f t="shared" si="3"/>
        <v>75288</v>
      </c>
      <c r="M17" s="10">
        <f t="shared" si="3"/>
        <v>6274</v>
      </c>
    </row>
    <row r="19" spans="2:14" x14ac:dyDescent="0.25">
      <c r="B19" s="4" t="s">
        <v>63</v>
      </c>
      <c r="G19" s="8">
        <v>-15770</v>
      </c>
      <c r="H19" s="8">
        <v>-15555</v>
      </c>
      <c r="I19" s="8">
        <v>-39555</v>
      </c>
      <c r="J19" s="8">
        <v>-60040</v>
      </c>
      <c r="K19" s="8">
        <v>-55550</v>
      </c>
      <c r="L19" s="8">
        <v>-46696</v>
      </c>
      <c r="M19" s="8">
        <v>-12044</v>
      </c>
    </row>
    <row r="20" spans="2:14" ht="16.5" thickBot="1" x14ac:dyDescent="0.3">
      <c r="B20" s="4" t="s">
        <v>64</v>
      </c>
      <c r="G20" s="9">
        <v>-15770</v>
      </c>
      <c r="H20" s="9">
        <v>-15555</v>
      </c>
      <c r="I20" s="9">
        <v>-39555</v>
      </c>
      <c r="J20" s="9">
        <v>-59188</v>
      </c>
      <c r="K20" s="9">
        <v>-55610</v>
      </c>
      <c r="L20" s="9">
        <v>-45566</v>
      </c>
      <c r="M20" s="9">
        <v>-13584</v>
      </c>
    </row>
    <row r="21" spans="2:14" x14ac:dyDescent="0.25">
      <c r="B21" s="7" t="s">
        <v>10</v>
      </c>
      <c r="G21" s="10">
        <f t="shared" ref="G21:M21" si="4">G14+G20</f>
        <v>30863</v>
      </c>
      <c r="H21" s="10">
        <f t="shared" si="4"/>
        <v>13149</v>
      </c>
      <c r="I21" s="10">
        <f t="shared" si="4"/>
        <v>-3109</v>
      </c>
      <c r="J21" s="10">
        <f t="shared" si="4"/>
        <v>-13068</v>
      </c>
      <c r="K21" s="10">
        <f t="shared" si="4"/>
        <v>-15687</v>
      </c>
      <c r="L21" s="10">
        <f t="shared" si="4"/>
        <v>20269</v>
      </c>
      <c r="M21" s="10">
        <f t="shared" si="4"/>
        <v>-10052</v>
      </c>
    </row>
    <row r="23" spans="2:14" ht="16.5" thickBot="1" x14ac:dyDescent="0.3">
      <c r="B23" s="4" t="s">
        <v>11</v>
      </c>
      <c r="G23" s="9">
        <v>-9387</v>
      </c>
      <c r="H23" s="9">
        <v>-5788</v>
      </c>
      <c r="I23" s="9">
        <v>-1098</v>
      </c>
      <c r="J23" s="9">
        <v>-36176</v>
      </c>
      <c r="K23" s="9">
        <v>-3783</v>
      </c>
      <c r="L23" s="9">
        <v>-7875</v>
      </c>
      <c r="M23" s="9">
        <v>-3369</v>
      </c>
    </row>
    <row r="24" spans="2:14" x14ac:dyDescent="0.25">
      <c r="B24" s="7" t="s">
        <v>12</v>
      </c>
      <c r="G24" s="10">
        <f t="shared" ref="G24:M24" si="5">G23+G21</f>
        <v>21476</v>
      </c>
      <c r="H24" s="10">
        <f t="shared" si="5"/>
        <v>7361</v>
      </c>
      <c r="I24" s="10">
        <f t="shared" si="5"/>
        <v>-4207</v>
      </c>
      <c r="J24" s="10">
        <f t="shared" si="5"/>
        <v>-49244</v>
      </c>
      <c r="K24" s="10">
        <f t="shared" si="5"/>
        <v>-19470</v>
      </c>
      <c r="L24" s="10">
        <f t="shared" si="5"/>
        <v>12394</v>
      </c>
      <c r="M24" s="10">
        <f t="shared" si="5"/>
        <v>-13421</v>
      </c>
    </row>
    <row r="27" spans="2:14" ht="26.25" x14ac:dyDescent="0.4">
      <c r="B27" s="1" t="s">
        <v>73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9" spans="2:14" ht="16.5" thickBot="1" x14ac:dyDescent="0.3">
      <c r="B29" s="5" t="s">
        <v>1</v>
      </c>
      <c r="G29" s="6">
        <v>2021</v>
      </c>
      <c r="H29" s="6">
        <f t="shared" ref="H29" si="6">G29+1</f>
        <v>2022</v>
      </c>
      <c r="I29" s="6">
        <f t="shared" ref="I29" si="7">H29+1</f>
        <v>2023</v>
      </c>
      <c r="J29" s="6">
        <f t="shared" ref="J29" si="8">I29+1</f>
        <v>2024</v>
      </c>
      <c r="K29" s="6">
        <f t="shared" ref="K29" si="9">J29+1</f>
        <v>2025</v>
      </c>
      <c r="L29" s="6">
        <f t="shared" ref="L29" si="10">K29+1</f>
        <v>2026</v>
      </c>
      <c r="M29" s="17" t="s">
        <v>57</v>
      </c>
    </row>
    <row r="31" spans="2:14" x14ac:dyDescent="0.25">
      <c r="B31" s="4" t="s">
        <v>4</v>
      </c>
      <c r="G31" s="11">
        <f>G9</f>
        <v>540782</v>
      </c>
      <c r="H31" s="11">
        <f t="shared" ref="H31:M31" si="11">H9</f>
        <v>650308</v>
      </c>
      <c r="I31" s="11">
        <f t="shared" si="11"/>
        <v>683074</v>
      </c>
      <c r="J31" s="11">
        <f t="shared" si="11"/>
        <v>717684</v>
      </c>
      <c r="K31" s="11">
        <f t="shared" si="11"/>
        <v>757354</v>
      </c>
      <c r="L31" s="11">
        <f t="shared" si="11"/>
        <v>789806</v>
      </c>
      <c r="M31" s="11">
        <f t="shared" si="11"/>
        <v>168021</v>
      </c>
    </row>
    <row r="32" spans="2:14" x14ac:dyDescent="0.25">
      <c r="G32" s="11"/>
    </row>
    <row r="33" spans="2:14" x14ac:dyDescent="0.25">
      <c r="B33" s="4" t="s">
        <v>75</v>
      </c>
      <c r="G33" s="20">
        <f>G11/G31</f>
        <v>0.20241243236646189</v>
      </c>
      <c r="H33" s="20">
        <f t="shared" ref="H33:M33" si="12">H11/H31</f>
        <v>0.18124488703814193</v>
      </c>
      <c r="I33" s="20">
        <f t="shared" si="12"/>
        <v>0.16683697520327226</v>
      </c>
      <c r="J33" s="20">
        <f t="shared" si="12"/>
        <v>0.18469270598201995</v>
      </c>
      <c r="K33" s="20">
        <f t="shared" si="12"/>
        <v>0.20311241506613817</v>
      </c>
      <c r="L33" s="20">
        <f t="shared" si="12"/>
        <v>0.20245604616829957</v>
      </c>
      <c r="M33" s="20">
        <f t="shared" si="12"/>
        <v>0.16172978377702787</v>
      </c>
    </row>
    <row r="34" spans="2:14" x14ac:dyDescent="0.25">
      <c r="B34" s="4" t="s">
        <v>76</v>
      </c>
      <c r="G34" s="15">
        <f>-G13/G31</f>
        <v>0.11617990243758113</v>
      </c>
      <c r="H34" s="15">
        <f t="shared" ref="H34:M34" si="13">-H13/H31</f>
        <v>0.13710580217373922</v>
      </c>
      <c r="I34" s="15">
        <f t="shared" si="13"/>
        <v>0.11348111624801999</v>
      </c>
      <c r="J34" s="15">
        <f t="shared" si="13"/>
        <v>0.12043044013799946</v>
      </c>
      <c r="K34" s="15">
        <f t="shared" si="13"/>
        <v>0.15039862468541793</v>
      </c>
      <c r="L34" s="15">
        <f t="shared" si="13"/>
        <v>0.1191001334504929</v>
      </c>
      <c r="M34" s="15">
        <f t="shared" si="13"/>
        <v>0.14070860190095286</v>
      </c>
    </row>
    <row r="35" spans="2:14" x14ac:dyDescent="0.25">
      <c r="B35" s="4" t="s">
        <v>74</v>
      </c>
      <c r="G35" s="20">
        <f>G14/G31</f>
        <v>8.6232529928880766E-2</v>
      </c>
      <c r="H35" s="20">
        <f t="shared" ref="H35:M35" si="14">H14/H31</f>
        <v>4.4139084864402711E-2</v>
      </c>
      <c r="I35" s="20">
        <f t="shared" si="14"/>
        <v>5.3355858955252286E-2</v>
      </c>
      <c r="J35" s="20">
        <f t="shared" si="14"/>
        <v>6.4262265844020491E-2</v>
      </c>
      <c r="K35" s="20">
        <f t="shared" si="14"/>
        <v>5.2713790380720243E-2</v>
      </c>
      <c r="L35" s="20">
        <f t="shared" si="14"/>
        <v>8.3355912717806652E-2</v>
      </c>
      <c r="M35" s="20">
        <f t="shared" si="14"/>
        <v>2.1021181876075015E-2</v>
      </c>
    </row>
    <row r="36" spans="2:14" x14ac:dyDescent="0.25">
      <c r="B36" s="4" t="s">
        <v>55</v>
      </c>
      <c r="G36" s="20">
        <f>G17/G31</f>
        <v>0.10393467238184703</v>
      </c>
      <c r="H36" s="20">
        <f t="shared" ref="H36:M36" si="15">H17/H31</f>
        <v>6.1573900367210617E-2</v>
      </c>
      <c r="I36" s="20">
        <f t="shared" si="15"/>
        <v>6.9436107947308784E-2</v>
      </c>
      <c r="J36" s="20">
        <f t="shared" si="15"/>
        <v>7.8953968598993424E-2</v>
      </c>
      <c r="K36" s="20">
        <f t="shared" si="15"/>
        <v>6.5815985655321027E-2</v>
      </c>
      <c r="L36" s="20">
        <f t="shared" si="15"/>
        <v>9.5324674666943526E-2</v>
      </c>
      <c r="M36" s="20">
        <f t="shared" si="15"/>
        <v>3.7340570523922603E-2</v>
      </c>
    </row>
    <row r="39" spans="2:14" ht="26.25" x14ac:dyDescent="0.4">
      <c r="B39" s="1" t="s">
        <v>80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1" spans="2:14" ht="16.5" thickBot="1" x14ac:dyDescent="0.3">
      <c r="B41" s="5" t="s">
        <v>1</v>
      </c>
      <c r="G41" s="6">
        <v>2021</v>
      </c>
      <c r="H41" s="6">
        <f t="shared" ref="H41" si="16">G41+1</f>
        <v>2022</v>
      </c>
      <c r="I41" s="6">
        <f t="shared" ref="I41" si="17">H41+1</f>
        <v>2023</v>
      </c>
      <c r="J41" s="6">
        <f t="shared" ref="J41" si="18">I41+1</f>
        <v>2024</v>
      </c>
      <c r="K41" s="6">
        <f t="shared" ref="K41" si="19">J41+1</f>
        <v>2025</v>
      </c>
      <c r="L41" s="6">
        <f t="shared" ref="L41" si="20">K41+1</f>
        <v>2026</v>
      </c>
      <c r="M41" s="17" t="s">
        <v>57</v>
      </c>
    </row>
    <row r="43" spans="2:14" x14ac:dyDescent="0.25">
      <c r="B43" s="4" t="s">
        <v>56</v>
      </c>
      <c r="G43" s="11">
        <f>G14</f>
        <v>46633</v>
      </c>
      <c r="H43" s="11">
        <f t="shared" ref="H43:M43" si="21">H14</f>
        <v>28704</v>
      </c>
      <c r="I43" s="11">
        <f t="shared" si="21"/>
        <v>36446</v>
      </c>
      <c r="J43" s="11">
        <f t="shared" si="21"/>
        <v>46120</v>
      </c>
      <c r="K43" s="11">
        <f t="shared" si="21"/>
        <v>39923</v>
      </c>
      <c r="L43" s="11">
        <f t="shared" si="21"/>
        <v>65835</v>
      </c>
      <c r="M43" s="11">
        <f t="shared" si="21"/>
        <v>3532</v>
      </c>
    </row>
    <row r="44" spans="2:14" x14ac:dyDescent="0.25">
      <c r="B44" s="4" t="s">
        <v>77</v>
      </c>
      <c r="G44" s="11">
        <v>17606</v>
      </c>
      <c r="H44" s="11">
        <v>1673</v>
      </c>
      <c r="I44" s="11">
        <v>9291</v>
      </c>
      <c r="J44" s="11">
        <v>3814</v>
      </c>
      <c r="K44" s="11">
        <v>-15892</v>
      </c>
      <c r="L44" s="11">
        <v>8924</v>
      </c>
      <c r="M44" s="11">
        <v>1597</v>
      </c>
    </row>
    <row r="45" spans="2:14" x14ac:dyDescent="0.25">
      <c r="B45" s="7" t="s">
        <v>78</v>
      </c>
      <c r="C45" s="7"/>
      <c r="D45" s="7"/>
      <c r="E45" s="7"/>
      <c r="F45" s="7"/>
      <c r="G45" s="10">
        <f>G43-G44</f>
        <v>29027</v>
      </c>
      <c r="H45" s="10">
        <f t="shared" ref="H45:M45" si="22">H43-H44</f>
        <v>27031</v>
      </c>
      <c r="I45" s="10">
        <f t="shared" si="22"/>
        <v>27155</v>
      </c>
      <c r="J45" s="10">
        <f t="shared" si="22"/>
        <v>42306</v>
      </c>
      <c r="K45" s="10">
        <f t="shared" si="22"/>
        <v>55815</v>
      </c>
      <c r="L45" s="10">
        <f t="shared" si="22"/>
        <v>56911</v>
      </c>
      <c r="M45" s="10">
        <f t="shared" si="22"/>
        <v>1935</v>
      </c>
    </row>
    <row r="46" spans="2:14" x14ac:dyDescent="0.25">
      <c r="B46" s="7" t="s">
        <v>79</v>
      </c>
      <c r="C46" s="7"/>
      <c r="D46" s="7"/>
      <c r="E46" s="7"/>
      <c r="F46" s="7"/>
      <c r="G46" s="20">
        <f>G45/G31</f>
        <v>5.367597294288641E-2</v>
      </c>
      <c r="H46" s="20">
        <f t="shared" ref="H46:M46" si="23">H45/H31</f>
        <v>4.156645774002473E-2</v>
      </c>
      <c r="I46" s="20">
        <f t="shared" si="23"/>
        <v>3.9754111560387308E-2</v>
      </c>
      <c r="J46" s="20">
        <f t="shared" si="23"/>
        <v>5.8947949236711421E-2</v>
      </c>
      <c r="K46" s="20">
        <f t="shared" si="23"/>
        <v>7.3697372694935259E-2</v>
      </c>
      <c r="L46" s="20">
        <f t="shared" si="23"/>
        <v>7.2056935500616606E-2</v>
      </c>
      <c r="M46" s="20">
        <f t="shared" si="23"/>
        <v>1.151641759065831E-2</v>
      </c>
    </row>
    <row r="49" spans="2:16" ht="26.25" x14ac:dyDescent="0.4">
      <c r="B49" s="1" t="s">
        <v>111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1" spans="2:16" ht="16.5" thickBot="1" x14ac:dyDescent="0.3">
      <c r="B51" s="5" t="s">
        <v>1</v>
      </c>
      <c r="G51" s="6">
        <v>2026</v>
      </c>
      <c r="H51" s="21">
        <f t="shared" ref="H51" si="24">G51+1</f>
        <v>2027</v>
      </c>
      <c r="I51" s="21">
        <f t="shared" ref="I51" si="25">H51+1</f>
        <v>2028</v>
      </c>
      <c r="J51" s="21">
        <f t="shared" ref="J51" si="26">I51+1</f>
        <v>2029</v>
      </c>
      <c r="K51" s="21">
        <f t="shared" ref="K51" si="27">J51+1</f>
        <v>2030</v>
      </c>
      <c r="L51" s="21">
        <f t="shared" ref="L51" si="28">K51+1</f>
        <v>2031</v>
      </c>
      <c r="M51" s="21">
        <f t="shared" ref="M51" si="29">L51+1</f>
        <v>2032</v>
      </c>
    </row>
    <row r="53" spans="2:16" x14ac:dyDescent="0.25">
      <c r="B53" s="4" t="s">
        <v>4</v>
      </c>
      <c r="G53" s="8">
        <f>L31</f>
        <v>789806</v>
      </c>
      <c r="H53" s="8">
        <v>780000</v>
      </c>
      <c r="I53" s="8">
        <v>900000</v>
      </c>
      <c r="J53" s="8">
        <f>I53*(1+0.04)</f>
        <v>936000</v>
      </c>
      <c r="K53" s="8">
        <f t="shared" ref="K53:M53" si="30">J53*(1+0.04)</f>
        <v>973440</v>
      </c>
      <c r="L53" s="8">
        <f t="shared" si="30"/>
        <v>1012377.6</v>
      </c>
      <c r="M53" s="8">
        <f t="shared" si="30"/>
        <v>1052872.7039999999</v>
      </c>
    </row>
    <row r="54" spans="2:16" x14ac:dyDescent="0.25">
      <c r="B54" s="4" t="s">
        <v>81</v>
      </c>
      <c r="G54" s="22">
        <f>L35</f>
        <v>8.3355912717806652E-2</v>
      </c>
      <c r="H54" s="23">
        <v>0.06</v>
      </c>
      <c r="I54" s="23">
        <f>H54</f>
        <v>0.06</v>
      </c>
      <c r="J54" s="23">
        <f t="shared" ref="J54:M54" si="31">I54</f>
        <v>0.06</v>
      </c>
      <c r="K54" s="23">
        <f t="shared" si="31"/>
        <v>0.06</v>
      </c>
      <c r="L54" s="23">
        <f t="shared" si="31"/>
        <v>0.06</v>
      </c>
      <c r="M54" s="23">
        <f t="shared" si="31"/>
        <v>0.06</v>
      </c>
    </row>
    <row r="55" spans="2:16" x14ac:dyDescent="0.25">
      <c r="B55" s="7" t="s">
        <v>82</v>
      </c>
      <c r="C55" s="7"/>
      <c r="D55" s="7"/>
      <c r="E55" s="7"/>
      <c r="F55" s="7"/>
      <c r="G55" s="10">
        <f t="shared" ref="G55:M55" si="32">G53*G54</f>
        <v>65835</v>
      </c>
      <c r="H55" s="10">
        <f t="shared" si="32"/>
        <v>46800</v>
      </c>
      <c r="I55" s="10">
        <f t="shared" si="32"/>
        <v>54000</v>
      </c>
      <c r="J55" s="10">
        <f t="shared" si="32"/>
        <v>56160</v>
      </c>
      <c r="K55" s="10">
        <f t="shared" si="32"/>
        <v>58406.400000000001</v>
      </c>
      <c r="L55" s="10">
        <f t="shared" si="32"/>
        <v>60742.655999999995</v>
      </c>
      <c r="M55" s="10">
        <f t="shared" si="32"/>
        <v>63172.362239999995</v>
      </c>
    </row>
    <row r="57" spans="2:16" x14ac:dyDescent="0.25">
      <c r="B57" s="4" t="s">
        <v>99</v>
      </c>
      <c r="G57" s="11">
        <f>G55*10</f>
        <v>658350</v>
      </c>
      <c r="H57" s="11">
        <f t="shared" ref="H57:M57" si="33">H55*10</f>
        <v>468000</v>
      </c>
      <c r="I57" s="11">
        <f t="shared" si="33"/>
        <v>540000</v>
      </c>
      <c r="J57" s="11">
        <f t="shared" si="33"/>
        <v>561600</v>
      </c>
      <c r="K57" s="11">
        <f t="shared" si="33"/>
        <v>584064</v>
      </c>
      <c r="L57" s="11">
        <f t="shared" si="33"/>
        <v>607426.55999999994</v>
      </c>
      <c r="M57" s="11">
        <f t="shared" si="33"/>
        <v>631723.62239999999</v>
      </c>
    </row>
    <row r="58" spans="2:16" x14ac:dyDescent="0.25">
      <c r="B58" s="4" t="s">
        <v>98</v>
      </c>
      <c r="G58" s="11">
        <f>G55*7.5</f>
        <v>493762.5</v>
      </c>
      <c r="H58" s="11">
        <f t="shared" ref="H58:M58" si="34">H55*7.5</f>
        <v>351000</v>
      </c>
      <c r="I58" s="11">
        <f t="shared" si="34"/>
        <v>405000</v>
      </c>
      <c r="J58" s="11">
        <f t="shared" si="34"/>
        <v>421200</v>
      </c>
      <c r="K58" s="11">
        <f t="shared" si="34"/>
        <v>438048</v>
      </c>
      <c r="L58" s="11">
        <f t="shared" si="34"/>
        <v>455569.91999999998</v>
      </c>
      <c r="M58" s="11">
        <f t="shared" si="34"/>
        <v>473792.71679999994</v>
      </c>
      <c r="P58" s="4">
        <f>7.5/100</f>
        <v>7.4999999999999997E-2</v>
      </c>
    </row>
    <row r="59" spans="2:16" x14ac:dyDescent="0.25">
      <c r="B59" s="4" t="s">
        <v>102</v>
      </c>
      <c r="G59" s="11">
        <f>G55*5</f>
        <v>329175</v>
      </c>
      <c r="H59" s="11">
        <f t="shared" ref="H59:M59" si="35">H55*5</f>
        <v>234000</v>
      </c>
      <c r="I59" s="11">
        <f t="shared" si="35"/>
        <v>270000</v>
      </c>
      <c r="J59" s="11">
        <f t="shared" si="35"/>
        <v>280800</v>
      </c>
      <c r="K59" s="11">
        <f t="shared" si="35"/>
        <v>292032</v>
      </c>
      <c r="L59" s="11">
        <f t="shared" si="35"/>
        <v>303713.27999999997</v>
      </c>
      <c r="M59" s="11">
        <f t="shared" si="35"/>
        <v>315861.8112</v>
      </c>
    </row>
    <row r="60" spans="2:16" x14ac:dyDescent="0.25">
      <c r="G60" s="11"/>
      <c r="H60" s="11"/>
      <c r="I60" s="11"/>
      <c r="J60" s="11"/>
      <c r="K60" s="11"/>
      <c r="L60" s="11"/>
      <c r="M60" s="11"/>
    </row>
    <row r="61" spans="2:16" x14ac:dyDescent="0.25">
      <c r="B61" s="4" t="s">
        <v>54</v>
      </c>
      <c r="G61" s="8">
        <f>'BS Analysis'!M54+'BS Analysis'!M50</f>
        <v>167793</v>
      </c>
      <c r="H61" s="8">
        <f>G61</f>
        <v>167793</v>
      </c>
      <c r="I61" s="8">
        <f t="shared" ref="I61:M61" si="36">H61</f>
        <v>167793</v>
      </c>
      <c r="J61" s="33">
        <v>130000</v>
      </c>
      <c r="K61" s="8">
        <f t="shared" si="36"/>
        <v>130000</v>
      </c>
      <c r="L61" s="8">
        <f t="shared" si="36"/>
        <v>130000</v>
      </c>
      <c r="M61" s="8">
        <f t="shared" si="36"/>
        <v>130000</v>
      </c>
    </row>
    <row r="62" spans="2:16" x14ac:dyDescent="0.25">
      <c r="G62" s="11"/>
      <c r="H62" s="11"/>
      <c r="I62" s="11"/>
      <c r="J62" s="11"/>
      <c r="K62" s="11"/>
      <c r="L62" s="11"/>
      <c r="M62" s="11"/>
    </row>
    <row r="63" spans="2:16" x14ac:dyDescent="0.25">
      <c r="B63" s="7" t="s">
        <v>100</v>
      </c>
      <c r="G63" s="10">
        <f>G57-G61</f>
        <v>490557</v>
      </c>
      <c r="H63" s="10">
        <f t="shared" ref="H63:M63" si="37">H57-H61</f>
        <v>300207</v>
      </c>
      <c r="I63" s="10">
        <f t="shared" si="37"/>
        <v>372207</v>
      </c>
      <c r="J63" s="10">
        <f t="shared" si="37"/>
        <v>431600</v>
      </c>
      <c r="K63" s="10">
        <f t="shared" si="37"/>
        <v>454064</v>
      </c>
      <c r="L63" s="10">
        <f t="shared" si="37"/>
        <v>477426.55999999994</v>
      </c>
      <c r="M63" s="10">
        <f t="shared" si="37"/>
        <v>501723.62239999999</v>
      </c>
    </row>
    <row r="64" spans="2:16" x14ac:dyDescent="0.25">
      <c r="B64" s="7" t="s">
        <v>101</v>
      </c>
      <c r="G64" s="10">
        <f>G58-G61</f>
        <v>325969.5</v>
      </c>
      <c r="H64" s="10">
        <f t="shared" ref="H64:M64" si="38">H58-H61</f>
        <v>183207</v>
      </c>
      <c r="I64" s="10">
        <f t="shared" si="38"/>
        <v>237207</v>
      </c>
      <c r="J64" s="10">
        <f t="shared" si="38"/>
        <v>291200</v>
      </c>
      <c r="K64" s="10">
        <f t="shared" si="38"/>
        <v>308048</v>
      </c>
      <c r="L64" s="10">
        <f t="shared" si="38"/>
        <v>325569.91999999998</v>
      </c>
      <c r="M64" s="10">
        <f t="shared" si="38"/>
        <v>343792.71679999994</v>
      </c>
    </row>
    <row r="65" spans="2:13" x14ac:dyDescent="0.25">
      <c r="B65" s="7" t="s">
        <v>103</v>
      </c>
      <c r="G65" s="10">
        <f>G59-G61</f>
        <v>161382</v>
      </c>
      <c r="H65" s="10">
        <f t="shared" ref="H65:M65" si="39">H59-H61</f>
        <v>66207</v>
      </c>
      <c r="I65" s="10">
        <f t="shared" si="39"/>
        <v>102207</v>
      </c>
      <c r="J65" s="10">
        <f t="shared" si="39"/>
        <v>150800</v>
      </c>
      <c r="K65" s="10">
        <f t="shared" si="39"/>
        <v>162032</v>
      </c>
      <c r="L65" s="10">
        <f t="shared" si="39"/>
        <v>173713.27999999997</v>
      </c>
      <c r="M65" s="10">
        <f t="shared" si="39"/>
        <v>185861.8112</v>
      </c>
    </row>
    <row r="67" spans="2:13" x14ac:dyDescent="0.25">
      <c r="B67" s="4" t="s">
        <v>71</v>
      </c>
      <c r="G67" s="8">
        <v>18933207</v>
      </c>
      <c r="H67" s="8">
        <f>G67*(1.01)</f>
        <v>19122539.07</v>
      </c>
      <c r="I67" s="8">
        <f t="shared" ref="I67:M67" si="40">H67*(1.01)</f>
        <v>19313764.460700002</v>
      </c>
      <c r="J67" s="33">
        <f>I67*(1.01)+3700000</f>
        <v>23206902.105307002</v>
      </c>
      <c r="K67" s="8">
        <f t="shared" si="40"/>
        <v>23438971.126360074</v>
      </c>
      <c r="L67" s="8">
        <f t="shared" si="40"/>
        <v>23673360.837623674</v>
      </c>
      <c r="M67" s="8">
        <f t="shared" si="40"/>
        <v>23910094.445999913</v>
      </c>
    </row>
    <row r="69" spans="2:13" x14ac:dyDescent="0.25">
      <c r="B69" s="7" t="s">
        <v>104</v>
      </c>
      <c r="C69" s="7"/>
      <c r="D69" s="7"/>
      <c r="E69" s="7"/>
      <c r="F69" s="7"/>
      <c r="G69" s="31">
        <f>(G63*1000)/G67</f>
        <v>25.909873588769194</v>
      </c>
      <c r="H69" s="31">
        <f t="shared" ref="H69:M69" si="41">(H63*1000)/H67</f>
        <v>15.699118140172795</v>
      </c>
      <c r="I69" s="31">
        <f t="shared" si="41"/>
        <v>19.271592586591474</v>
      </c>
      <c r="J69" s="31">
        <f t="shared" si="41"/>
        <v>18.597915311639152</v>
      </c>
      <c r="K69" s="31">
        <f t="shared" si="41"/>
        <v>19.372181379128364</v>
      </c>
      <c r="L69" s="31">
        <f t="shared" si="41"/>
        <v>20.167248886826155</v>
      </c>
      <c r="M69" s="31">
        <f t="shared" si="41"/>
        <v>20.983757447429774</v>
      </c>
    </row>
    <row r="70" spans="2:13" x14ac:dyDescent="0.25">
      <c r="B70" s="7" t="s">
        <v>105</v>
      </c>
      <c r="C70" s="7"/>
      <c r="D70" s="7"/>
      <c r="E70" s="7"/>
      <c r="F70" s="7"/>
      <c r="G70" s="31">
        <f>(G64*1000)/G67</f>
        <v>17.216813823458434</v>
      </c>
      <c r="H70" s="31">
        <f t="shared" ref="H70:M70" si="42">(H64*1000)/H67</f>
        <v>9.5806837852103293</v>
      </c>
      <c r="I70" s="31">
        <f t="shared" si="42"/>
        <v>12.281758974677004</v>
      </c>
      <c r="J70" s="31">
        <f t="shared" si="42"/>
        <v>12.547991053636055</v>
      </c>
      <c r="K70" s="31">
        <f t="shared" si="42"/>
        <v>13.142556400590522</v>
      </c>
      <c r="L70" s="31">
        <f t="shared" si="42"/>
        <v>13.75258554258917</v>
      </c>
      <c r="M70" s="31">
        <f t="shared" si="42"/>
        <v>14.37855954841347</v>
      </c>
    </row>
    <row r="71" spans="2:13" x14ac:dyDescent="0.25">
      <c r="B71" s="7" t="s">
        <v>106</v>
      </c>
      <c r="G71" s="31">
        <f>(G65*1000)/G67</f>
        <v>8.5237540581476772</v>
      </c>
      <c r="H71" s="31">
        <f t="shared" ref="H71:M71" si="43">(H65*1000)/H67</f>
        <v>3.462249430247863</v>
      </c>
      <c r="I71" s="31">
        <f t="shared" si="43"/>
        <v>5.2919253627625347</v>
      </c>
      <c r="J71" s="31">
        <f t="shared" si="43"/>
        <v>6.4980667956329574</v>
      </c>
      <c r="K71" s="31">
        <f t="shared" si="43"/>
        <v>6.9129314220526776</v>
      </c>
      <c r="L71" s="31">
        <f t="shared" si="43"/>
        <v>7.3379221983521825</v>
      </c>
      <c r="M71" s="31">
        <f t="shared" si="43"/>
        <v>7.7733616493971693</v>
      </c>
    </row>
    <row r="73" spans="2:13" x14ac:dyDescent="0.25">
      <c r="B73" s="4" t="s">
        <v>107</v>
      </c>
      <c r="G73" s="32">
        <v>10.99</v>
      </c>
      <c r="H73" s="32">
        <f>G73</f>
        <v>10.99</v>
      </c>
      <c r="I73" s="32">
        <f>H73</f>
        <v>10.99</v>
      </c>
      <c r="J73" s="32">
        <f t="shared" ref="J73:M73" si="44">I73</f>
        <v>10.99</v>
      </c>
      <c r="K73" s="32">
        <f t="shared" si="44"/>
        <v>10.99</v>
      </c>
      <c r="L73" s="32">
        <f t="shared" si="44"/>
        <v>10.99</v>
      </c>
      <c r="M73" s="32">
        <f t="shared" si="44"/>
        <v>10.99</v>
      </c>
    </row>
    <row r="75" spans="2:13" x14ac:dyDescent="0.25">
      <c r="B75" s="7" t="s">
        <v>108</v>
      </c>
      <c r="C75" s="7"/>
      <c r="D75" s="7"/>
      <c r="E75" s="7"/>
      <c r="F75" s="7"/>
      <c r="G75" s="20">
        <f>1-($G$73/G69)</f>
        <v>0.57583737480048192</v>
      </c>
      <c r="H75" s="20">
        <f t="shared" ref="H75:M75" si="45">1-($G$73/H69)</f>
        <v>0.29996067920035174</v>
      </c>
      <c r="I75" s="20">
        <f t="shared" si="45"/>
        <v>0.42973057620331423</v>
      </c>
      <c r="J75" s="20">
        <f t="shared" si="45"/>
        <v>0.40907355389869327</v>
      </c>
      <c r="K75" s="20">
        <f t="shared" si="45"/>
        <v>0.43269166311643903</v>
      </c>
      <c r="L75" s="20">
        <f t="shared" si="45"/>
        <v>0.45505705504636307</v>
      </c>
      <c r="M75" s="20">
        <f t="shared" si="45"/>
        <v>0.4762615786265616</v>
      </c>
    </row>
    <row r="76" spans="2:13" x14ac:dyDescent="0.25">
      <c r="B76" s="7" t="s">
        <v>109</v>
      </c>
      <c r="C76" s="7"/>
      <c r="D76" s="7"/>
      <c r="E76" s="7"/>
      <c r="F76" s="7"/>
      <c r="G76" s="20">
        <f t="shared" ref="G76:M77" si="46">1-($G$73/G70)</f>
        <v>0.36167050926543742</v>
      </c>
      <c r="H76" s="20">
        <f t="shared" si="46"/>
        <v>-0.14709975262571851</v>
      </c>
      <c r="I76" s="20">
        <f t="shared" si="46"/>
        <v>0.10517703346405038</v>
      </c>
      <c r="J76" s="20">
        <f t="shared" si="46"/>
        <v>0.12416258881413478</v>
      </c>
      <c r="K76" s="20">
        <f t="shared" si="46"/>
        <v>0.1637852130879045</v>
      </c>
      <c r="L76" s="20">
        <f t="shared" si="46"/>
        <v>0.20087753928408314</v>
      </c>
      <c r="M76" s="20">
        <f t="shared" si="46"/>
        <v>0.23566752545719116</v>
      </c>
    </row>
    <row r="77" spans="2:13" x14ac:dyDescent="0.25">
      <c r="B77" s="7" t="s">
        <v>110</v>
      </c>
      <c r="C77" s="7"/>
      <c r="D77" s="7"/>
      <c r="E77" s="7"/>
      <c r="F77" s="7"/>
      <c r="G77" s="20">
        <f t="shared" si="46"/>
        <v>-0.28933799884745515</v>
      </c>
      <c r="H77" s="20">
        <f t="shared" si="46"/>
        <v>-2.1742369293171415</v>
      </c>
      <c r="I77" s="20">
        <f t="shared" si="46"/>
        <v>-1.0767488667419354</v>
      </c>
      <c r="J77" s="20">
        <f t="shared" si="46"/>
        <v>-0.69127224228994666</v>
      </c>
      <c r="K77" s="20">
        <f t="shared" si="46"/>
        <v>-0.58977419694071065</v>
      </c>
      <c r="L77" s="20">
        <f t="shared" si="46"/>
        <v>-0.497699171908355</v>
      </c>
      <c r="M77" s="20">
        <f t="shared" si="46"/>
        <v>-0.41380274013782481</v>
      </c>
    </row>
    <row r="79" spans="2:13" x14ac:dyDescent="0.25">
      <c r="B79" s="7" t="s">
        <v>112</v>
      </c>
      <c r="G79" s="31">
        <f>(G69*0.3)+(G70*0.6)+(G71*0.1)</f>
        <v>18.955425776520585</v>
      </c>
      <c r="H79" s="31">
        <f t="shared" ref="H79:M79" si="47">(H69*0.3)+(H70*0.6)+(H71*0.1)</f>
        <v>10.804370656202822</v>
      </c>
      <c r="I79" s="31">
        <f t="shared" si="47"/>
        <v>13.679725697059899</v>
      </c>
      <c r="J79" s="31">
        <f t="shared" si="47"/>
        <v>13.757975905236675</v>
      </c>
      <c r="K79" s="31">
        <f t="shared" si="47"/>
        <v>14.38848139629809</v>
      </c>
      <c r="L79" s="31">
        <f t="shared" si="47"/>
        <v>15.035518211436566</v>
      </c>
      <c r="M79" s="31">
        <f t="shared" si="47"/>
        <v>15.699599128216731</v>
      </c>
    </row>
    <row r="80" spans="2:13" x14ac:dyDescent="0.25">
      <c r="B80" s="7" t="s">
        <v>113</v>
      </c>
      <c r="G80" s="31">
        <v>19.175092735213848</v>
      </c>
      <c r="H80" s="31">
        <v>17.548192673139614</v>
      </c>
      <c r="I80" s="31">
        <v>21.350886868227569</v>
      </c>
      <c r="J80" s="31">
        <v>20.485543388890463</v>
      </c>
      <c r="K80" s="31">
        <v>21.305013658999655</v>
      </c>
      <c r="L80" s="31">
        <v>22.146735632346648</v>
      </c>
      <c r="M80" s="31">
        <v>23.011390933758836</v>
      </c>
    </row>
    <row r="81" spans="2:13" x14ac:dyDescent="0.25">
      <c r="B81" s="7" t="s">
        <v>114</v>
      </c>
      <c r="G81" s="31">
        <v>19.175092735213848</v>
      </c>
      <c r="H81" s="31">
        <v>23.857030613456082</v>
      </c>
      <c r="I81" s="31">
        <v>28.591370735810763</v>
      </c>
      <c r="J81" s="31">
        <v>26.759582006337105</v>
      </c>
      <c r="K81" s="31">
        <v>27.772507440308019</v>
      </c>
      <c r="L81" s="31">
        <v>28.813360497421879</v>
      </c>
      <c r="M81" s="31">
        <v>29.882992089959494</v>
      </c>
    </row>
    <row r="83" spans="2:13" x14ac:dyDescent="0.25">
      <c r="B83" s="7" t="s">
        <v>115</v>
      </c>
      <c r="G83" s="31">
        <f>(G79*0.25)+(G80*0.5)+(G81*0.25)</f>
        <v>19.120175995540531</v>
      </c>
      <c r="H83" s="31">
        <f t="shared" ref="H83:M83" si="48">(H79*0.25)+(H80*0.5)+(H81*0.25)</f>
        <v>17.439446653984533</v>
      </c>
      <c r="I83" s="31">
        <f t="shared" si="48"/>
        <v>21.24321754233145</v>
      </c>
      <c r="J83" s="31">
        <f t="shared" si="48"/>
        <v>20.372161172338679</v>
      </c>
      <c r="K83" s="31">
        <f t="shared" si="48"/>
        <v>21.192754038651355</v>
      </c>
      <c r="L83" s="31">
        <f t="shared" si="48"/>
        <v>22.035587493387936</v>
      </c>
      <c r="M83" s="31">
        <f t="shared" si="48"/>
        <v>22.901343271423475</v>
      </c>
    </row>
    <row r="85" spans="2:13" x14ac:dyDescent="0.25">
      <c r="B85" s="7" t="s">
        <v>112</v>
      </c>
      <c r="G85" s="31">
        <v>18.955425776520585</v>
      </c>
      <c r="H85" s="31">
        <v>10.804370656202822</v>
      </c>
      <c r="I85" s="31">
        <v>13.679725697059899</v>
      </c>
      <c r="J85" s="31">
        <v>13.757975905236675</v>
      </c>
      <c r="K85" s="31">
        <v>14.38848139629809</v>
      </c>
      <c r="L85" s="31">
        <v>15.035518211436566</v>
      </c>
      <c r="M85" s="31">
        <v>15.699599128216731</v>
      </c>
    </row>
    <row r="86" spans="2:13" x14ac:dyDescent="0.25">
      <c r="B86" s="7" t="s">
        <v>113</v>
      </c>
      <c r="G86" s="31">
        <v>19.175092735213848</v>
      </c>
      <c r="H86" s="31">
        <v>17.330700634829451</v>
      </c>
      <c r="I86" s="31">
        <v>21.135548216435328</v>
      </c>
      <c r="J86" s="31">
        <v>20.211228447106642</v>
      </c>
      <c r="K86" s="31">
        <v>21.033414706738455</v>
      </c>
      <c r="L86" s="31">
        <v>21.877825778622686</v>
      </c>
      <c r="M86" s="31">
        <v>22.745143553834122</v>
      </c>
    </row>
    <row r="87" spans="2:13" x14ac:dyDescent="0.25">
      <c r="B87" s="7" t="s">
        <v>114</v>
      </c>
      <c r="G87" s="31">
        <v>19.175092735213848</v>
      </c>
      <c r="H87" s="31">
        <v>23.857030613456082</v>
      </c>
      <c r="I87" s="31">
        <v>28.591370735810763</v>
      </c>
      <c r="J87" s="31">
        <v>26.759582006337105</v>
      </c>
      <c r="K87" s="31">
        <v>27.772507440308019</v>
      </c>
      <c r="L87" s="31">
        <v>28.813360497421879</v>
      </c>
      <c r="M87" s="31">
        <v>29.882992089959494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3CA7-65B6-4AA0-AD5A-9DE3D05A77BF}">
  <dimension ref="B2:N64"/>
  <sheetViews>
    <sheetView showGridLines="0" topLeftCell="A23" workbookViewId="0">
      <selection activeCell="Q14" sqref="Q14"/>
    </sheetView>
  </sheetViews>
  <sheetFormatPr defaultRowHeight="15.75" x14ac:dyDescent="0.25"/>
  <cols>
    <col min="1" max="5" width="9.140625" style="4"/>
    <col min="6" max="6" width="27.28515625" style="4" customWidth="1"/>
    <col min="7" max="13" width="12.85546875" style="4" customWidth="1"/>
    <col min="14" max="16384" width="9.140625" style="4"/>
  </cols>
  <sheetData>
    <row r="2" spans="2:14" ht="26.25" x14ac:dyDescent="0.4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3"/>
      <c r="C3" s="3"/>
      <c r="D3" s="3"/>
      <c r="E3" s="3"/>
      <c r="F3" s="3"/>
      <c r="G3" s="3"/>
      <c r="H3" s="3"/>
      <c r="I3" s="3"/>
      <c r="J3" s="3"/>
      <c r="K3" s="3"/>
    </row>
    <row r="5" spans="2:14" ht="26.25" x14ac:dyDescent="0.4">
      <c r="B5" s="1" t="s">
        <v>118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7" spans="2:14" ht="16.5" thickBot="1" x14ac:dyDescent="0.3">
      <c r="B7" s="5" t="s">
        <v>1</v>
      </c>
      <c r="G7" s="6">
        <v>2021</v>
      </c>
      <c r="H7" s="6">
        <f t="shared" ref="H7:L7" si="0">G7+1</f>
        <v>2022</v>
      </c>
      <c r="I7" s="6">
        <f t="shared" si="0"/>
        <v>2023</v>
      </c>
      <c r="J7" s="6">
        <f t="shared" si="0"/>
        <v>2024</v>
      </c>
      <c r="K7" s="6">
        <f t="shared" si="0"/>
        <v>2025</v>
      </c>
      <c r="L7" s="6">
        <f t="shared" si="0"/>
        <v>2026</v>
      </c>
      <c r="M7" s="17" t="s">
        <v>57</v>
      </c>
    </row>
    <row r="9" spans="2:14" x14ac:dyDescent="0.25">
      <c r="B9" s="4" t="s">
        <v>4</v>
      </c>
      <c r="G9" s="8">
        <v>540782</v>
      </c>
      <c r="H9" s="8">
        <v>650308</v>
      </c>
      <c r="I9" s="8">
        <v>683074</v>
      </c>
      <c r="J9" s="8">
        <v>717684</v>
      </c>
      <c r="K9" s="8">
        <v>757354</v>
      </c>
      <c r="L9" s="8">
        <v>789806</v>
      </c>
      <c r="M9" s="8">
        <v>168021</v>
      </c>
    </row>
    <row r="10" spans="2:14" ht="16.5" thickBot="1" x14ac:dyDescent="0.3">
      <c r="B10" s="4" t="s">
        <v>5</v>
      </c>
      <c r="G10" s="9">
        <v>-431321</v>
      </c>
      <c r="H10" s="9">
        <f>-532443</f>
        <v>-532443</v>
      </c>
      <c r="I10" s="9">
        <v>-569112</v>
      </c>
      <c r="J10" s="9">
        <v>-585133</v>
      </c>
      <c r="K10" s="9">
        <v>-603526</v>
      </c>
      <c r="L10" s="9">
        <v>-629905</v>
      </c>
      <c r="M10" s="9">
        <v>-140847</v>
      </c>
    </row>
    <row r="11" spans="2:14" x14ac:dyDescent="0.25">
      <c r="B11" s="7" t="s">
        <v>6</v>
      </c>
      <c r="G11" s="10">
        <f t="shared" ref="G11:M11" si="1">SUM(G9:G10)</f>
        <v>109461</v>
      </c>
      <c r="H11" s="10">
        <f t="shared" si="1"/>
        <v>117865</v>
      </c>
      <c r="I11" s="10">
        <f t="shared" si="1"/>
        <v>113962</v>
      </c>
      <c r="J11" s="10">
        <f t="shared" si="1"/>
        <v>132551</v>
      </c>
      <c r="K11" s="10">
        <f t="shared" si="1"/>
        <v>153828</v>
      </c>
      <c r="L11" s="10">
        <f t="shared" si="1"/>
        <v>159901</v>
      </c>
      <c r="M11" s="10">
        <f t="shared" si="1"/>
        <v>27174</v>
      </c>
    </row>
    <row r="12" spans="2:14" x14ac:dyDescent="0.25">
      <c r="B12" s="7" t="s">
        <v>117</v>
      </c>
      <c r="G12" s="20">
        <f>G11/G9</f>
        <v>0.20241243236646189</v>
      </c>
      <c r="H12" s="20">
        <f t="shared" ref="H12:M12" si="2">H11/H9</f>
        <v>0.18124488703814193</v>
      </c>
      <c r="I12" s="20">
        <f t="shared" si="2"/>
        <v>0.16683697520327226</v>
      </c>
      <c r="J12" s="20">
        <f t="shared" si="2"/>
        <v>0.18469270598201995</v>
      </c>
      <c r="K12" s="20">
        <f t="shared" si="2"/>
        <v>0.20311241506613817</v>
      </c>
      <c r="L12" s="20">
        <f t="shared" si="2"/>
        <v>0.20245604616829957</v>
      </c>
      <c r="M12" s="20">
        <f t="shared" si="2"/>
        <v>0.16172978377702787</v>
      </c>
    </row>
    <row r="14" spans="2:14" ht="16.5" thickBot="1" x14ac:dyDescent="0.3">
      <c r="B14" s="4" t="s">
        <v>7</v>
      </c>
      <c r="G14" s="9">
        <v>-62828</v>
      </c>
      <c r="H14" s="9">
        <v>-89161</v>
      </c>
      <c r="I14" s="9">
        <v>-77516</v>
      </c>
      <c r="J14" s="9">
        <v>-86431</v>
      </c>
      <c r="K14" s="9">
        <v>-113905</v>
      </c>
      <c r="L14" s="9">
        <v>-94066</v>
      </c>
      <c r="M14" s="9">
        <v>-23642</v>
      </c>
    </row>
    <row r="15" spans="2:14" x14ac:dyDescent="0.25">
      <c r="B15" s="7" t="s">
        <v>56</v>
      </c>
      <c r="G15" s="10">
        <f t="shared" ref="G15:M15" si="3">G11+G14</f>
        <v>46633</v>
      </c>
      <c r="H15" s="10">
        <f t="shared" si="3"/>
        <v>28704</v>
      </c>
      <c r="I15" s="10">
        <f t="shared" si="3"/>
        <v>36446</v>
      </c>
      <c r="J15" s="10">
        <f t="shared" si="3"/>
        <v>46120</v>
      </c>
      <c r="K15" s="10">
        <f t="shared" si="3"/>
        <v>39923</v>
      </c>
      <c r="L15" s="10">
        <f t="shared" si="3"/>
        <v>65835</v>
      </c>
      <c r="M15" s="10">
        <f t="shared" si="3"/>
        <v>3532</v>
      </c>
    </row>
    <row r="16" spans="2:14" x14ac:dyDescent="0.25">
      <c r="B16" s="7" t="s">
        <v>116</v>
      </c>
      <c r="G16" s="20">
        <f>G15/G9</f>
        <v>8.6232529928880766E-2</v>
      </c>
      <c r="H16" s="20">
        <f t="shared" ref="H16:M16" si="4">H15/H9</f>
        <v>4.4139084864402711E-2</v>
      </c>
      <c r="I16" s="20">
        <f t="shared" si="4"/>
        <v>5.3355858955252286E-2</v>
      </c>
      <c r="J16" s="20">
        <f t="shared" si="4"/>
        <v>6.4262265844020491E-2</v>
      </c>
      <c r="K16" s="20">
        <f t="shared" si="4"/>
        <v>5.2713790380720243E-2</v>
      </c>
      <c r="L16" s="20">
        <f t="shared" si="4"/>
        <v>8.3355912717806652E-2</v>
      </c>
      <c r="M16" s="20">
        <f t="shared" si="4"/>
        <v>2.1021181876075015E-2</v>
      </c>
    </row>
    <row r="18" spans="2:14" ht="16.5" thickBot="1" x14ac:dyDescent="0.3">
      <c r="B18" s="4" t="s">
        <v>8</v>
      </c>
      <c r="G18" s="9">
        <v>9573</v>
      </c>
      <c r="H18" s="9">
        <v>11338</v>
      </c>
      <c r="I18" s="9">
        <v>10984</v>
      </c>
      <c r="J18" s="9">
        <v>10544</v>
      </c>
      <c r="K18" s="9">
        <v>9923</v>
      </c>
      <c r="L18" s="9">
        <v>9453</v>
      </c>
      <c r="M18" s="9">
        <v>2742</v>
      </c>
    </row>
    <row r="19" spans="2:14" x14ac:dyDescent="0.25">
      <c r="B19" s="7" t="s">
        <v>9</v>
      </c>
      <c r="G19" s="10">
        <f t="shared" ref="G19:M19" si="5">G18+G15</f>
        <v>56206</v>
      </c>
      <c r="H19" s="10">
        <f t="shared" si="5"/>
        <v>40042</v>
      </c>
      <c r="I19" s="10">
        <f t="shared" si="5"/>
        <v>47430</v>
      </c>
      <c r="J19" s="10">
        <f t="shared" si="5"/>
        <v>56664</v>
      </c>
      <c r="K19" s="10">
        <f t="shared" si="5"/>
        <v>49846</v>
      </c>
      <c r="L19" s="10">
        <f t="shared" si="5"/>
        <v>75288</v>
      </c>
      <c r="M19" s="10">
        <f t="shared" si="5"/>
        <v>6274</v>
      </c>
    </row>
    <row r="20" spans="2:14" x14ac:dyDescent="0.25">
      <c r="B20" s="7" t="s">
        <v>55</v>
      </c>
      <c r="G20" s="20">
        <f>G19/G9</f>
        <v>0.10393467238184703</v>
      </c>
      <c r="H20" s="20">
        <f t="shared" ref="H20:M20" si="6">H19/H9</f>
        <v>6.1573900367210617E-2</v>
      </c>
      <c r="I20" s="20">
        <f t="shared" si="6"/>
        <v>6.9436107947308784E-2</v>
      </c>
      <c r="J20" s="20">
        <f t="shared" si="6"/>
        <v>7.8953968598993424E-2</v>
      </c>
      <c r="K20" s="20">
        <f t="shared" si="6"/>
        <v>6.5815985655321027E-2</v>
      </c>
      <c r="L20" s="20">
        <f t="shared" si="6"/>
        <v>9.5324674666943526E-2</v>
      </c>
      <c r="M20" s="20">
        <f t="shared" si="6"/>
        <v>3.7340570523922603E-2</v>
      </c>
    </row>
    <row r="23" spans="2:14" ht="26.25" x14ac:dyDescent="0.4">
      <c r="B23" s="1" t="s">
        <v>123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5" spans="2:14" ht="16.5" thickBot="1" x14ac:dyDescent="0.3">
      <c r="B25" s="5" t="s">
        <v>1</v>
      </c>
      <c r="G25" s="6">
        <v>2026</v>
      </c>
      <c r="H25" s="21">
        <f t="shared" ref="H25:M25" si="7">G25+1</f>
        <v>2027</v>
      </c>
      <c r="I25" s="21">
        <f t="shared" si="7"/>
        <v>2028</v>
      </c>
      <c r="J25" s="21">
        <f t="shared" si="7"/>
        <v>2029</v>
      </c>
      <c r="K25" s="21">
        <f t="shared" si="7"/>
        <v>2030</v>
      </c>
      <c r="L25" s="21">
        <f t="shared" si="7"/>
        <v>2031</v>
      </c>
      <c r="M25" s="21">
        <f t="shared" si="7"/>
        <v>2032</v>
      </c>
    </row>
    <row r="27" spans="2:14" x14ac:dyDescent="0.25">
      <c r="B27" s="4" t="s">
        <v>4</v>
      </c>
      <c r="G27" s="8">
        <f>'IS Analysis'!G53</f>
        <v>789806</v>
      </c>
      <c r="H27" s="8">
        <v>780000</v>
      </c>
      <c r="I27" s="8">
        <v>900000</v>
      </c>
      <c r="J27" s="8">
        <f>I27*(1+0.04)</f>
        <v>936000</v>
      </c>
      <c r="K27" s="8">
        <f t="shared" ref="K27:M27" si="8">J27*(1+0.04)</f>
        <v>973440</v>
      </c>
      <c r="L27" s="8">
        <f t="shared" si="8"/>
        <v>1012377.6</v>
      </c>
      <c r="M27" s="8">
        <f t="shared" si="8"/>
        <v>1052872.7039999999</v>
      </c>
    </row>
    <row r="28" spans="2:14" x14ac:dyDescent="0.25">
      <c r="B28" s="4" t="s">
        <v>81</v>
      </c>
      <c r="G28" s="34">
        <v>8.3000000000000004E-2</v>
      </c>
      <c r="H28" s="23">
        <v>0.06</v>
      </c>
      <c r="I28" s="23">
        <f>H28</f>
        <v>0.06</v>
      </c>
      <c r="J28" s="23">
        <f t="shared" ref="J28:M28" si="9">I28</f>
        <v>0.06</v>
      </c>
      <c r="K28" s="23">
        <f t="shared" si="9"/>
        <v>0.06</v>
      </c>
      <c r="L28" s="23">
        <f t="shared" si="9"/>
        <v>0.06</v>
      </c>
      <c r="M28" s="23">
        <f t="shared" si="9"/>
        <v>0.06</v>
      </c>
    </row>
    <row r="29" spans="2:14" x14ac:dyDescent="0.25">
      <c r="B29" s="7" t="s">
        <v>82</v>
      </c>
      <c r="C29" s="7"/>
      <c r="D29" s="7"/>
      <c r="E29" s="7"/>
      <c r="F29" s="7"/>
      <c r="G29" s="8">
        <f>'IS Analysis'!G55</f>
        <v>65835</v>
      </c>
      <c r="H29" s="10">
        <f t="shared" ref="H29:M29" si="10">H27*H28</f>
        <v>46800</v>
      </c>
      <c r="I29" s="10">
        <f t="shared" si="10"/>
        <v>54000</v>
      </c>
      <c r="J29" s="10">
        <f t="shared" si="10"/>
        <v>56160</v>
      </c>
      <c r="K29" s="10">
        <f t="shared" si="10"/>
        <v>58406.400000000001</v>
      </c>
      <c r="L29" s="10">
        <f t="shared" si="10"/>
        <v>60742.655999999995</v>
      </c>
      <c r="M29" s="10">
        <f t="shared" si="10"/>
        <v>63172.362239999995</v>
      </c>
    </row>
    <row r="31" spans="2:14" x14ac:dyDescent="0.25">
      <c r="B31" s="4" t="s">
        <v>99</v>
      </c>
      <c r="G31" s="11">
        <f>G29*10</f>
        <v>658350</v>
      </c>
      <c r="H31" s="11">
        <f t="shared" ref="H31:M31" si="11">H29*10</f>
        <v>468000</v>
      </c>
      <c r="I31" s="11">
        <f t="shared" si="11"/>
        <v>540000</v>
      </c>
      <c r="J31" s="11">
        <f t="shared" si="11"/>
        <v>561600</v>
      </c>
      <c r="K31" s="11">
        <f t="shared" si="11"/>
        <v>584064</v>
      </c>
      <c r="L31" s="11">
        <f t="shared" si="11"/>
        <v>607426.55999999994</v>
      </c>
      <c r="M31" s="11">
        <f t="shared" si="11"/>
        <v>631723.62239999999</v>
      </c>
    </row>
    <row r="32" spans="2:14" x14ac:dyDescent="0.25">
      <c r="B32" s="4" t="s">
        <v>98</v>
      </c>
      <c r="G32" s="11">
        <f>G29*7.5</f>
        <v>493762.5</v>
      </c>
      <c r="H32" s="11">
        <f t="shared" ref="H32:M32" si="12">H29*7.5</f>
        <v>351000</v>
      </c>
      <c r="I32" s="11">
        <f t="shared" si="12"/>
        <v>405000</v>
      </c>
      <c r="J32" s="11">
        <f t="shared" si="12"/>
        <v>421200</v>
      </c>
      <c r="K32" s="11">
        <f t="shared" si="12"/>
        <v>438048</v>
      </c>
      <c r="L32" s="11">
        <f t="shared" si="12"/>
        <v>455569.91999999998</v>
      </c>
      <c r="M32" s="11">
        <f t="shared" si="12"/>
        <v>473792.71679999994</v>
      </c>
    </row>
    <row r="33" spans="2:13" x14ac:dyDescent="0.25">
      <c r="B33" s="4" t="s">
        <v>102</v>
      </c>
      <c r="G33" s="11">
        <f>G29*5</f>
        <v>329175</v>
      </c>
      <c r="H33" s="11">
        <f t="shared" ref="H33:M33" si="13">H29*5</f>
        <v>234000</v>
      </c>
      <c r="I33" s="11">
        <f t="shared" si="13"/>
        <v>270000</v>
      </c>
      <c r="J33" s="11">
        <f t="shared" si="13"/>
        <v>280800</v>
      </c>
      <c r="K33" s="11">
        <f t="shared" si="13"/>
        <v>292032</v>
      </c>
      <c r="L33" s="11">
        <f t="shared" si="13"/>
        <v>303713.27999999997</v>
      </c>
      <c r="M33" s="11">
        <f t="shared" si="13"/>
        <v>315861.8112</v>
      </c>
    </row>
    <row r="34" spans="2:13" x14ac:dyDescent="0.25">
      <c r="G34" s="11"/>
      <c r="H34" s="11"/>
      <c r="I34" s="11"/>
      <c r="J34" s="11"/>
      <c r="K34" s="11"/>
      <c r="L34" s="11"/>
      <c r="M34" s="11"/>
    </row>
    <row r="35" spans="2:13" x14ac:dyDescent="0.25">
      <c r="B35" s="4" t="s">
        <v>54</v>
      </c>
      <c r="G35" s="8">
        <f>'IS Analysis'!G61</f>
        <v>167793</v>
      </c>
      <c r="H35" s="8">
        <f>G35</f>
        <v>167793</v>
      </c>
      <c r="I35" s="8">
        <f t="shared" ref="I35:M35" si="14">H35</f>
        <v>167793</v>
      </c>
      <c r="J35" s="33">
        <v>130000</v>
      </c>
      <c r="K35" s="8">
        <f t="shared" si="14"/>
        <v>130000</v>
      </c>
      <c r="L35" s="8">
        <f t="shared" si="14"/>
        <v>130000</v>
      </c>
      <c r="M35" s="8">
        <f t="shared" si="14"/>
        <v>130000</v>
      </c>
    </row>
    <row r="36" spans="2:13" x14ac:dyDescent="0.25">
      <c r="G36" s="11"/>
      <c r="H36" s="11"/>
      <c r="I36" s="11"/>
      <c r="J36" s="11"/>
      <c r="K36" s="11"/>
      <c r="L36" s="11"/>
      <c r="M36" s="11"/>
    </row>
    <row r="37" spans="2:13" x14ac:dyDescent="0.25">
      <c r="B37" s="7" t="s">
        <v>100</v>
      </c>
      <c r="G37" s="10">
        <f>G31-G35</f>
        <v>490557</v>
      </c>
      <c r="H37" s="10">
        <f t="shared" ref="H37:M37" si="15">H31-H35</f>
        <v>300207</v>
      </c>
      <c r="I37" s="10">
        <f t="shared" si="15"/>
        <v>372207</v>
      </c>
      <c r="J37" s="10">
        <f t="shared" si="15"/>
        <v>431600</v>
      </c>
      <c r="K37" s="10">
        <f t="shared" si="15"/>
        <v>454064</v>
      </c>
      <c r="L37" s="10">
        <f t="shared" si="15"/>
        <v>477426.55999999994</v>
      </c>
      <c r="M37" s="10">
        <f t="shared" si="15"/>
        <v>501723.62239999999</v>
      </c>
    </row>
    <row r="38" spans="2:13" x14ac:dyDescent="0.25">
      <c r="B38" s="7" t="s">
        <v>101</v>
      </c>
      <c r="G38" s="10">
        <f>G32-G35</f>
        <v>325969.5</v>
      </c>
      <c r="H38" s="10">
        <f t="shared" ref="H38:M38" si="16">H32-H35</f>
        <v>183207</v>
      </c>
      <c r="I38" s="10">
        <f t="shared" si="16"/>
        <v>237207</v>
      </c>
      <c r="J38" s="10">
        <f t="shared" si="16"/>
        <v>291200</v>
      </c>
      <c r="K38" s="10">
        <f t="shared" si="16"/>
        <v>308048</v>
      </c>
      <c r="L38" s="10">
        <f t="shared" si="16"/>
        <v>325569.91999999998</v>
      </c>
      <c r="M38" s="10">
        <f t="shared" si="16"/>
        <v>343792.71679999994</v>
      </c>
    </row>
    <row r="39" spans="2:13" x14ac:dyDescent="0.25">
      <c r="B39" s="7" t="s">
        <v>103</v>
      </c>
      <c r="G39" s="10">
        <f>G33-G35</f>
        <v>161382</v>
      </c>
      <c r="H39" s="10">
        <f t="shared" ref="H39:M39" si="17">H33-H35</f>
        <v>66207</v>
      </c>
      <c r="I39" s="10">
        <f t="shared" si="17"/>
        <v>102207</v>
      </c>
      <c r="J39" s="10">
        <f t="shared" si="17"/>
        <v>150800</v>
      </c>
      <c r="K39" s="10">
        <f t="shared" si="17"/>
        <v>162032</v>
      </c>
      <c r="L39" s="10">
        <f t="shared" si="17"/>
        <v>173713.27999999997</v>
      </c>
      <c r="M39" s="10">
        <f t="shared" si="17"/>
        <v>185861.8112</v>
      </c>
    </row>
    <row r="41" spans="2:13" x14ac:dyDescent="0.25">
      <c r="B41" s="4" t="s">
        <v>71</v>
      </c>
      <c r="G41" s="8">
        <v>18933207</v>
      </c>
      <c r="H41" s="8">
        <f>G41*(1.01)</f>
        <v>19122539.07</v>
      </c>
      <c r="I41" s="8">
        <f t="shared" ref="I41:M41" si="18">H41*(1.01)</f>
        <v>19313764.460700002</v>
      </c>
      <c r="J41" s="33">
        <f>I41*(1.01)+3700000</f>
        <v>23206902.105307002</v>
      </c>
      <c r="K41" s="8">
        <f t="shared" si="18"/>
        <v>23438971.126360074</v>
      </c>
      <c r="L41" s="8">
        <f t="shared" si="18"/>
        <v>23673360.837623674</v>
      </c>
      <c r="M41" s="8">
        <f t="shared" si="18"/>
        <v>23910094.445999913</v>
      </c>
    </row>
    <row r="43" spans="2:13" x14ac:dyDescent="0.25">
      <c r="B43" s="7" t="s">
        <v>104</v>
      </c>
      <c r="C43" s="7"/>
      <c r="D43" s="7"/>
      <c r="E43" s="7"/>
      <c r="F43" s="7"/>
      <c r="G43" s="31">
        <f>(G37*1000)/G41</f>
        <v>25.909873588769194</v>
      </c>
      <c r="H43" s="31">
        <f t="shared" ref="H43:M43" si="19">(H37*1000)/H41</f>
        <v>15.699118140172795</v>
      </c>
      <c r="I43" s="31">
        <f t="shared" si="19"/>
        <v>19.271592586591474</v>
      </c>
      <c r="J43" s="31">
        <f t="shared" si="19"/>
        <v>18.597915311639152</v>
      </c>
      <c r="K43" s="31">
        <f t="shared" si="19"/>
        <v>19.372181379128364</v>
      </c>
      <c r="L43" s="31">
        <f t="shared" si="19"/>
        <v>20.167248886826155</v>
      </c>
      <c r="M43" s="31">
        <f t="shared" si="19"/>
        <v>20.983757447429774</v>
      </c>
    </row>
    <row r="44" spans="2:13" x14ac:dyDescent="0.25">
      <c r="B44" s="7" t="s">
        <v>105</v>
      </c>
      <c r="C44" s="7"/>
      <c r="D44" s="7"/>
      <c r="E44" s="7"/>
      <c r="F44" s="7"/>
      <c r="G44" s="31">
        <f>(G38*1000)/G41</f>
        <v>17.216813823458434</v>
      </c>
      <c r="H44" s="31">
        <f t="shared" ref="H44:M44" si="20">(H38*1000)/H41</f>
        <v>9.5806837852103293</v>
      </c>
      <c r="I44" s="31">
        <f t="shared" si="20"/>
        <v>12.281758974677004</v>
      </c>
      <c r="J44" s="31">
        <f t="shared" si="20"/>
        <v>12.547991053636055</v>
      </c>
      <c r="K44" s="31">
        <f t="shared" si="20"/>
        <v>13.142556400590522</v>
      </c>
      <c r="L44" s="31">
        <f t="shared" si="20"/>
        <v>13.75258554258917</v>
      </c>
      <c r="M44" s="31">
        <f t="shared" si="20"/>
        <v>14.37855954841347</v>
      </c>
    </row>
    <row r="45" spans="2:13" x14ac:dyDescent="0.25">
      <c r="B45" s="7" t="s">
        <v>106</v>
      </c>
      <c r="G45" s="31">
        <f>(G39*1000)/G41</f>
        <v>8.5237540581476772</v>
      </c>
      <c r="H45" s="31">
        <f t="shared" ref="H45:M45" si="21">(H39*1000)/H41</f>
        <v>3.462249430247863</v>
      </c>
      <c r="I45" s="31">
        <f t="shared" si="21"/>
        <v>5.2919253627625347</v>
      </c>
      <c r="J45" s="31">
        <f t="shared" si="21"/>
        <v>6.4980667956329574</v>
      </c>
      <c r="K45" s="31">
        <f t="shared" si="21"/>
        <v>6.9129314220526776</v>
      </c>
      <c r="L45" s="31">
        <f t="shared" si="21"/>
        <v>7.3379221983521825</v>
      </c>
      <c r="M45" s="31">
        <f t="shared" si="21"/>
        <v>7.7733616493971693</v>
      </c>
    </row>
    <row r="47" spans="2:13" x14ac:dyDescent="0.25">
      <c r="B47" s="4" t="s">
        <v>107</v>
      </c>
      <c r="G47" s="32">
        <v>10.99</v>
      </c>
      <c r="H47" s="32">
        <f>G47</f>
        <v>10.99</v>
      </c>
      <c r="I47" s="32">
        <f>H47</f>
        <v>10.99</v>
      </c>
      <c r="J47" s="32">
        <f t="shared" ref="J47:M47" si="22">I47</f>
        <v>10.99</v>
      </c>
      <c r="K47" s="32">
        <f t="shared" si="22"/>
        <v>10.99</v>
      </c>
      <c r="L47" s="32">
        <f t="shared" si="22"/>
        <v>10.99</v>
      </c>
      <c r="M47" s="32">
        <f t="shared" si="22"/>
        <v>10.99</v>
      </c>
    </row>
    <row r="49" spans="2:14" x14ac:dyDescent="0.25">
      <c r="B49" s="7" t="s">
        <v>108</v>
      </c>
      <c r="C49" s="7"/>
      <c r="D49" s="7"/>
      <c r="E49" s="7"/>
      <c r="F49" s="7"/>
      <c r="G49" s="20">
        <f>1-($G$47/G43)</f>
        <v>0.57583737480048192</v>
      </c>
      <c r="H49" s="20">
        <f t="shared" ref="H49:M49" si="23">1-($G$47/H43)</f>
        <v>0.29996067920035174</v>
      </c>
      <c r="I49" s="20">
        <f t="shared" si="23"/>
        <v>0.42973057620331423</v>
      </c>
      <c r="J49" s="20">
        <f t="shared" si="23"/>
        <v>0.40907355389869327</v>
      </c>
      <c r="K49" s="20">
        <f t="shared" si="23"/>
        <v>0.43269166311643903</v>
      </c>
      <c r="L49" s="20">
        <f t="shared" si="23"/>
        <v>0.45505705504636307</v>
      </c>
      <c r="M49" s="20">
        <f t="shared" si="23"/>
        <v>0.4762615786265616</v>
      </c>
    </row>
    <row r="50" spans="2:14" x14ac:dyDescent="0.25">
      <c r="B50" s="7" t="s">
        <v>109</v>
      </c>
      <c r="C50" s="7"/>
      <c r="D50" s="7"/>
      <c r="E50" s="7"/>
      <c r="F50" s="7"/>
      <c r="G50" s="20">
        <f t="shared" ref="G50:M50" si="24">1-($G$47/G44)</f>
        <v>0.36167050926543742</v>
      </c>
      <c r="H50" s="20">
        <f t="shared" si="24"/>
        <v>-0.14709975262571851</v>
      </c>
      <c r="I50" s="20">
        <f t="shared" si="24"/>
        <v>0.10517703346405038</v>
      </c>
      <c r="J50" s="20">
        <f t="shared" si="24"/>
        <v>0.12416258881413478</v>
      </c>
      <c r="K50" s="20">
        <f t="shared" si="24"/>
        <v>0.1637852130879045</v>
      </c>
      <c r="L50" s="20">
        <f t="shared" si="24"/>
        <v>0.20087753928408314</v>
      </c>
      <c r="M50" s="20">
        <f t="shared" si="24"/>
        <v>0.23566752545719116</v>
      </c>
    </row>
    <row r="51" spans="2:14" x14ac:dyDescent="0.25">
      <c r="B51" s="7" t="s">
        <v>110</v>
      </c>
      <c r="C51" s="7"/>
      <c r="D51" s="7"/>
      <c r="E51" s="7"/>
      <c r="F51" s="7"/>
      <c r="G51" s="20">
        <f t="shared" ref="G51:M51" si="25">1-($G$47/G45)</f>
        <v>-0.28933799884745515</v>
      </c>
      <c r="H51" s="20">
        <f t="shared" si="25"/>
        <v>-2.1742369293171415</v>
      </c>
      <c r="I51" s="20">
        <f t="shared" si="25"/>
        <v>-1.0767488667419354</v>
      </c>
      <c r="J51" s="20">
        <f t="shared" si="25"/>
        <v>-0.69127224228994666</v>
      </c>
      <c r="K51" s="20">
        <f t="shared" si="25"/>
        <v>-0.58977419694071065</v>
      </c>
      <c r="L51" s="20">
        <f t="shared" si="25"/>
        <v>-0.497699171908355</v>
      </c>
      <c r="M51" s="20">
        <f t="shared" si="25"/>
        <v>-0.41380274013782481</v>
      </c>
    </row>
    <row r="52" spans="2:14" x14ac:dyDescent="0.25">
      <c r="B52" s="7"/>
      <c r="C52" s="7"/>
      <c r="D52" s="7"/>
      <c r="E52" s="7"/>
      <c r="F52" s="7"/>
      <c r="G52" s="20"/>
      <c r="H52" s="20"/>
      <c r="I52" s="20"/>
      <c r="J52" s="20"/>
      <c r="K52" s="20"/>
      <c r="L52" s="20"/>
      <c r="M52" s="20"/>
    </row>
    <row r="53" spans="2:14" x14ac:dyDescent="0.25">
      <c r="B53" s="7" t="s">
        <v>122</v>
      </c>
      <c r="G53" s="31">
        <f>(G43*0.3)+(G44*0.6)+(G45*0.1)</f>
        <v>18.955425776520585</v>
      </c>
      <c r="H53" s="31">
        <f t="shared" ref="H53:M53" si="26">(H43*0.3)+(H44*0.6)+(H45*0.1)</f>
        <v>10.804370656202822</v>
      </c>
      <c r="I53" s="31">
        <f t="shared" si="26"/>
        <v>13.679725697059899</v>
      </c>
      <c r="J53" s="31">
        <f t="shared" si="26"/>
        <v>13.757975905236675</v>
      </c>
      <c r="K53" s="31">
        <f t="shared" si="26"/>
        <v>14.38848139629809</v>
      </c>
      <c r="L53" s="31">
        <f t="shared" si="26"/>
        <v>15.035518211436566</v>
      </c>
      <c r="M53" s="31">
        <f t="shared" si="26"/>
        <v>15.699599128216731</v>
      </c>
    </row>
    <row r="54" spans="2:14" x14ac:dyDescent="0.25">
      <c r="B54" s="7"/>
      <c r="C54" s="7"/>
      <c r="D54" s="7"/>
      <c r="E54" s="7"/>
      <c r="F54" s="7"/>
      <c r="G54" s="20"/>
      <c r="H54" s="20"/>
      <c r="I54" s="20"/>
      <c r="J54" s="20"/>
      <c r="K54" s="20"/>
      <c r="L54" s="20"/>
      <c r="M54" s="20"/>
    </row>
    <row r="55" spans="2:14" x14ac:dyDescent="0.25">
      <c r="B55" s="7"/>
      <c r="C55" s="7"/>
      <c r="D55" s="7"/>
      <c r="E55" s="7"/>
      <c r="F55" s="7"/>
      <c r="G55" s="20"/>
      <c r="H55" s="20"/>
      <c r="I55" s="20"/>
      <c r="J55" s="20"/>
      <c r="K55" s="20"/>
      <c r="L55" s="20"/>
      <c r="M55" s="20"/>
    </row>
    <row r="56" spans="2:14" ht="26.25" x14ac:dyDescent="0.4">
      <c r="B56" s="1" t="s">
        <v>119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 x14ac:dyDescent="0.25">
      <c r="B57" s="7"/>
      <c r="C57" s="7"/>
      <c r="D57" s="7"/>
      <c r="E57" s="7"/>
      <c r="F57" s="7"/>
      <c r="G57" s="20"/>
      <c r="H57" s="20"/>
      <c r="I57" s="20"/>
      <c r="J57" s="20"/>
      <c r="K57" s="20"/>
      <c r="L57" s="20"/>
      <c r="M57" s="20"/>
    </row>
    <row r="58" spans="2:14" ht="16.5" thickBot="1" x14ac:dyDescent="0.3">
      <c r="B58" s="5" t="s">
        <v>1</v>
      </c>
      <c r="G58" s="6">
        <v>2026</v>
      </c>
      <c r="H58" s="21">
        <f t="shared" ref="H58" si="27">G58+1</f>
        <v>2027</v>
      </c>
      <c r="I58" s="21">
        <f t="shared" ref="I58" si="28">H58+1</f>
        <v>2028</v>
      </c>
      <c r="J58" s="21">
        <f t="shared" ref="J58" si="29">I58+1</f>
        <v>2029</v>
      </c>
      <c r="K58" s="21">
        <f t="shared" ref="K58" si="30">J58+1</f>
        <v>2030</v>
      </c>
      <c r="L58" s="21">
        <f t="shared" ref="L58" si="31">K58+1</f>
        <v>2031</v>
      </c>
      <c r="M58" s="21">
        <f t="shared" ref="M58" si="32">L58+1</f>
        <v>2032</v>
      </c>
    </row>
    <row r="60" spans="2:14" x14ac:dyDescent="0.25">
      <c r="B60" s="7" t="s">
        <v>121</v>
      </c>
      <c r="G60" s="31">
        <f>(G43*0.3)+(G44*0.6)+(G45*0.1)</f>
        <v>18.955425776520585</v>
      </c>
      <c r="H60" s="31">
        <f t="shared" ref="H60:M60" si="33">(H43*0.3)+(H44*0.6)+(H45*0.1)</f>
        <v>10.804370656202822</v>
      </c>
      <c r="I60" s="31">
        <f t="shared" si="33"/>
        <v>13.679725697059899</v>
      </c>
      <c r="J60" s="31">
        <f t="shared" si="33"/>
        <v>13.757975905236675</v>
      </c>
      <c r="K60" s="31">
        <f t="shared" si="33"/>
        <v>14.38848139629809</v>
      </c>
      <c r="L60" s="31">
        <f t="shared" si="33"/>
        <v>15.035518211436566</v>
      </c>
      <c r="M60" s="31">
        <f t="shared" si="33"/>
        <v>15.699599128216731</v>
      </c>
    </row>
    <row r="61" spans="2:14" x14ac:dyDescent="0.25">
      <c r="B61" s="7" t="s">
        <v>120</v>
      </c>
      <c r="G61" s="31">
        <v>18.96</v>
      </c>
      <c r="H61" s="31">
        <v>17.548192673139614</v>
      </c>
      <c r="I61" s="31">
        <v>21.350886868227569</v>
      </c>
      <c r="J61" s="31">
        <v>20.485543388890463</v>
      </c>
      <c r="K61" s="31">
        <v>21.305013658999655</v>
      </c>
      <c r="L61" s="31">
        <v>22.146735632346648</v>
      </c>
      <c r="M61" s="31">
        <v>23.011390933758836</v>
      </c>
    </row>
    <row r="62" spans="2:14" x14ac:dyDescent="0.25">
      <c r="B62" s="7" t="s">
        <v>122</v>
      </c>
      <c r="G62" s="31">
        <v>18.96</v>
      </c>
      <c r="H62" s="31">
        <v>23.857030613456082</v>
      </c>
      <c r="I62" s="31">
        <v>28.591370735810763</v>
      </c>
      <c r="J62" s="31">
        <v>26.759582006337105</v>
      </c>
      <c r="K62" s="31">
        <v>27.772507440308019</v>
      </c>
      <c r="L62" s="31">
        <v>28.813360497421879</v>
      </c>
      <c r="M62" s="31">
        <v>29.882992089959494</v>
      </c>
    </row>
    <row r="64" spans="2:14" x14ac:dyDescent="0.25">
      <c r="B64" s="7" t="s">
        <v>115</v>
      </c>
      <c r="G64" s="31">
        <f>(G60*0.25)+(G61*0.5)+(G62*0.25)</f>
        <v>18.958856444130149</v>
      </c>
      <c r="H64" s="31">
        <f t="shared" ref="H64:M64" si="34">(H60*0.25)+(H61*0.5)+(H62*0.25)</f>
        <v>17.439446653984533</v>
      </c>
      <c r="I64" s="31">
        <f t="shared" si="34"/>
        <v>21.24321754233145</v>
      </c>
      <c r="J64" s="31">
        <f t="shared" si="34"/>
        <v>20.372161172338679</v>
      </c>
      <c r="K64" s="31">
        <f t="shared" si="34"/>
        <v>21.192754038651355</v>
      </c>
      <c r="L64" s="31">
        <f t="shared" si="34"/>
        <v>22.035587493387936</v>
      </c>
      <c r="M64" s="31">
        <f t="shared" si="34"/>
        <v>22.901343271423475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 Financials</vt:lpstr>
      <vt:lpstr>BS Analysis</vt:lpstr>
      <vt:lpstr>IS Analysis</vt:lpstr>
      <vt:lpstr>Substack Pretty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Passafiume</dc:creator>
  <cp:lastModifiedBy>Conner Passafiume</cp:lastModifiedBy>
  <cp:lastPrinted>2026-08-18T00:53:41Z</cp:lastPrinted>
  <dcterms:created xsi:type="dcterms:W3CDTF">2026-08-15T16:45:55Z</dcterms:created>
  <dcterms:modified xsi:type="dcterms:W3CDTF">2026-09-20T16:39:44Z</dcterms:modified>
</cp:coreProperties>
</file>