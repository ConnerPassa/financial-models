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e\Documents\Finance\Models\"/>
    </mc:Choice>
  </mc:AlternateContent>
  <xr:revisionPtr revIDLastSave="0" documentId="13_ncr:1_{CD8E8844-1CD4-4245-BC41-A871E7EBB3F6}" xr6:coauthVersionLast="47" xr6:coauthVersionMax="47" xr10:uidLastSave="{00000000-0000-0000-0000-000000000000}"/>
  <bookViews>
    <workbookView xWindow="28680" yWindow="-120" windowWidth="29040" windowHeight="15720" activeTab="3" xr2:uid="{5A4EA397-D73B-4EFC-8868-A11D807062C1}"/>
  </bookViews>
  <sheets>
    <sheet name="Historical Financials" sheetId="1" r:id="rId1"/>
    <sheet name="Substack" sheetId="4" r:id="rId2"/>
    <sheet name="IS Analysis" sheetId="2" r:id="rId3"/>
    <sheet name="Valuation" sheetId="5" r:id="rId4"/>
    <sheet name="BS Analysi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6" i="3" l="1"/>
  <c r="I46" i="3"/>
  <c r="J46" i="3"/>
  <c r="K46" i="3"/>
  <c r="L46" i="3"/>
  <c r="M46" i="3"/>
  <c r="G46" i="3"/>
  <c r="H53" i="5"/>
  <c r="D85" i="5"/>
  <c r="B81" i="5"/>
  <c r="B82" i="5" s="1"/>
  <c r="B83" i="5" s="1"/>
  <c r="B84" i="5" s="1"/>
  <c r="G51" i="5"/>
  <c r="G50" i="5"/>
  <c r="H43" i="5"/>
  <c r="I43" i="5" s="1"/>
  <c r="J43" i="5" s="1"/>
  <c r="K43" i="5" s="1"/>
  <c r="L43" i="5" s="1"/>
  <c r="G45" i="5"/>
  <c r="G47" i="5" s="1"/>
  <c r="I45" i="5"/>
  <c r="J45" i="5"/>
  <c r="K45" i="5"/>
  <c r="L45" i="5"/>
  <c r="G46" i="5"/>
  <c r="I46" i="5"/>
  <c r="J46" i="5" s="1"/>
  <c r="K46" i="5" s="1"/>
  <c r="L46" i="5" s="1"/>
  <c r="H47" i="5"/>
  <c r="H49" i="5" s="1"/>
  <c r="H55" i="5" s="1"/>
  <c r="H61" i="5" s="1"/>
  <c r="I53" i="5"/>
  <c r="J53" i="5"/>
  <c r="K53" i="5"/>
  <c r="L53" i="5"/>
  <c r="H59" i="5"/>
  <c r="I59" i="5"/>
  <c r="J59" i="5"/>
  <c r="K59" i="5"/>
  <c r="L59" i="5"/>
  <c r="G71" i="5"/>
  <c r="G73" i="5" s="1"/>
  <c r="H71" i="5"/>
  <c r="H73" i="5" s="1"/>
  <c r="I71" i="5"/>
  <c r="I73" i="5" s="1"/>
  <c r="J71" i="5"/>
  <c r="J73" i="5" s="1"/>
  <c r="K71" i="5"/>
  <c r="K73" i="5" s="1"/>
  <c r="L71" i="5"/>
  <c r="L73" i="5" s="1"/>
  <c r="H28" i="1"/>
  <c r="I28" i="1"/>
  <c r="J28" i="1"/>
  <c r="K28" i="1"/>
  <c r="L28" i="1"/>
  <c r="M28" i="1"/>
  <c r="M29" i="1" s="1"/>
  <c r="G28" i="1"/>
  <c r="G29" i="1" s="1"/>
  <c r="H29" i="1"/>
  <c r="I29" i="1"/>
  <c r="J29" i="1"/>
  <c r="K29" i="1"/>
  <c r="L29" i="1"/>
  <c r="H10" i="5"/>
  <c r="H12" i="5" s="1"/>
  <c r="H18" i="5" s="1"/>
  <c r="G36" i="5"/>
  <c r="H16" i="5"/>
  <c r="H34" i="5"/>
  <c r="H36" i="5" s="1"/>
  <c r="I34" i="5"/>
  <c r="I36" i="5" s="1"/>
  <c r="J34" i="5"/>
  <c r="J36" i="5" s="1"/>
  <c r="K34" i="5"/>
  <c r="K36" i="5" s="1"/>
  <c r="L34" i="5"/>
  <c r="L36" i="5" s="1"/>
  <c r="G34" i="5"/>
  <c r="H22" i="5"/>
  <c r="I22" i="5" s="1"/>
  <c r="J22" i="5" s="1"/>
  <c r="K22" i="5" s="1"/>
  <c r="L22" i="5" s="1"/>
  <c r="I16" i="5"/>
  <c r="J16" i="5" s="1"/>
  <c r="K16" i="5" s="1"/>
  <c r="L16" i="5" s="1"/>
  <c r="I9" i="5"/>
  <c r="J9" i="5" s="1"/>
  <c r="I8" i="5"/>
  <c r="J8" i="5" s="1"/>
  <c r="K8" i="5" s="1"/>
  <c r="L8" i="5" s="1"/>
  <c r="G8" i="5"/>
  <c r="I47" i="5" l="1"/>
  <c r="I49" i="5" s="1"/>
  <c r="J47" i="5"/>
  <c r="J51" i="5" s="1"/>
  <c r="H51" i="5"/>
  <c r="H57" i="5" s="1"/>
  <c r="H63" i="5" s="1"/>
  <c r="H50" i="5"/>
  <c r="H56" i="5" s="1"/>
  <c r="H62" i="5" s="1"/>
  <c r="J50" i="5"/>
  <c r="J56" i="5" s="1"/>
  <c r="J62" i="5" s="1"/>
  <c r="J49" i="5"/>
  <c r="J55" i="5" s="1"/>
  <c r="J61" i="5" s="1"/>
  <c r="L47" i="5"/>
  <c r="K47" i="5"/>
  <c r="J57" i="5"/>
  <c r="J63" i="5" s="1"/>
  <c r="I55" i="5"/>
  <c r="I61" i="5" s="1"/>
  <c r="G56" i="5"/>
  <c r="G62" i="5" s="1"/>
  <c r="G49" i="5"/>
  <c r="G55" i="5" s="1"/>
  <c r="G61" i="5" s="1"/>
  <c r="G57" i="5"/>
  <c r="G63" i="5" s="1"/>
  <c r="H24" i="5"/>
  <c r="K9" i="5"/>
  <c r="J10" i="5"/>
  <c r="H13" i="5"/>
  <c r="H19" i="5" s="1"/>
  <c r="H25" i="5" s="1"/>
  <c r="I10" i="5"/>
  <c r="H14" i="5"/>
  <c r="H20" i="5" s="1"/>
  <c r="H26" i="5" s="1"/>
  <c r="H65" i="5" l="1"/>
  <c r="I50" i="5"/>
  <c r="I56" i="5" s="1"/>
  <c r="I62" i="5" s="1"/>
  <c r="I51" i="5"/>
  <c r="I57" i="5" s="1"/>
  <c r="I63" i="5" s="1"/>
  <c r="K51" i="5"/>
  <c r="K57" i="5" s="1"/>
  <c r="K63" i="5" s="1"/>
  <c r="K49" i="5"/>
  <c r="K50" i="5"/>
  <c r="K56" i="5" s="1"/>
  <c r="K62" i="5" s="1"/>
  <c r="L51" i="5"/>
  <c r="L57" i="5" s="1"/>
  <c r="L63" i="5" s="1"/>
  <c r="L49" i="5"/>
  <c r="L55" i="5" s="1"/>
  <c r="L61" i="5" s="1"/>
  <c r="L50" i="5"/>
  <c r="L56" i="5" s="1"/>
  <c r="L62" i="5" s="1"/>
  <c r="G65" i="5"/>
  <c r="J65" i="5"/>
  <c r="K55" i="5"/>
  <c r="K61" i="5" s="1"/>
  <c r="H28" i="5"/>
  <c r="I13" i="5"/>
  <c r="I19" i="5" s="1"/>
  <c r="I25" i="5" s="1"/>
  <c r="I14" i="5"/>
  <c r="I20" i="5" s="1"/>
  <c r="I26" i="5" s="1"/>
  <c r="I12" i="5"/>
  <c r="I18" i="5" s="1"/>
  <c r="I24" i="5" s="1"/>
  <c r="J13" i="5"/>
  <c r="J19" i="5" s="1"/>
  <c r="J25" i="5" s="1"/>
  <c r="J14" i="5"/>
  <c r="J20" i="5" s="1"/>
  <c r="J26" i="5" s="1"/>
  <c r="J12" i="5"/>
  <c r="J18" i="5" s="1"/>
  <c r="J24" i="5" s="1"/>
  <c r="L9" i="5"/>
  <c r="L10" i="5" s="1"/>
  <c r="K10" i="5"/>
  <c r="I65" i="5" l="1"/>
  <c r="L65" i="5"/>
  <c r="K65" i="5"/>
  <c r="J28" i="5"/>
  <c r="I28" i="5"/>
  <c r="L13" i="5"/>
  <c r="L19" i="5" s="1"/>
  <c r="L25" i="5" s="1"/>
  <c r="L14" i="5"/>
  <c r="L20" i="5" s="1"/>
  <c r="L26" i="5" s="1"/>
  <c r="L12" i="5"/>
  <c r="L18" i="5" s="1"/>
  <c r="L24" i="5" s="1"/>
  <c r="K13" i="5"/>
  <c r="K19" i="5" s="1"/>
  <c r="K25" i="5" s="1"/>
  <c r="K14" i="5"/>
  <c r="K20" i="5" s="1"/>
  <c r="K26" i="5" s="1"/>
  <c r="K12" i="5"/>
  <c r="K18" i="5" s="1"/>
  <c r="K24" i="5" s="1"/>
  <c r="K28" i="5" l="1"/>
  <c r="L28" i="5"/>
  <c r="H6" i="5" l="1"/>
  <c r="I6" i="5" s="1"/>
  <c r="J6" i="5" s="1"/>
  <c r="K6" i="5" s="1"/>
  <c r="L6" i="5" s="1"/>
  <c r="H44" i="3"/>
  <c r="H114" i="2" s="1"/>
  <c r="I44" i="3"/>
  <c r="J44" i="3"/>
  <c r="J45" i="3" s="1"/>
  <c r="K44" i="3"/>
  <c r="K45" i="3" s="1"/>
  <c r="L44" i="3"/>
  <c r="M44" i="3"/>
  <c r="M114" i="2" s="1"/>
  <c r="G44" i="3"/>
  <c r="G114" i="2" s="1"/>
  <c r="L45" i="3"/>
  <c r="I114" i="2"/>
  <c r="J114" i="2"/>
  <c r="G108" i="2"/>
  <c r="G111" i="2" s="1"/>
  <c r="J13" i="4"/>
  <c r="G13" i="4"/>
  <c r="K10" i="4"/>
  <c r="K11" i="4"/>
  <c r="K12" i="4"/>
  <c r="K9" i="4"/>
  <c r="K13" i="4" s="1"/>
  <c r="H9" i="4"/>
  <c r="H10" i="4"/>
  <c r="H11" i="4"/>
  <c r="H12" i="4"/>
  <c r="J6" i="4"/>
  <c r="H85" i="3"/>
  <c r="I85" i="3"/>
  <c r="G82" i="3"/>
  <c r="G85" i="3" s="1"/>
  <c r="H47" i="2"/>
  <c r="I47" i="2"/>
  <c r="J47" i="2"/>
  <c r="K47" i="2"/>
  <c r="L47" i="2"/>
  <c r="M47" i="2"/>
  <c r="G47" i="2"/>
  <c r="I42" i="2"/>
  <c r="J42" i="2"/>
  <c r="K42" i="2"/>
  <c r="L42" i="2"/>
  <c r="M42" i="2"/>
  <c r="H42" i="2"/>
  <c r="H43" i="2"/>
  <c r="I43" i="2"/>
  <c r="J43" i="2"/>
  <c r="K43" i="2"/>
  <c r="L43" i="2"/>
  <c r="M43" i="2"/>
  <c r="G43" i="2"/>
  <c r="H39" i="2"/>
  <c r="H45" i="2" s="1"/>
  <c r="I39" i="2"/>
  <c r="I45" i="2" s="1"/>
  <c r="J39" i="2"/>
  <c r="J45" i="2" s="1"/>
  <c r="K39" i="2"/>
  <c r="K45" i="2" s="1"/>
  <c r="L39" i="2"/>
  <c r="L45" i="2" s="1"/>
  <c r="M39" i="2"/>
  <c r="M45" i="2" s="1"/>
  <c r="G39" i="2"/>
  <c r="G45" i="2" s="1"/>
  <c r="I40" i="2"/>
  <c r="J40" i="2"/>
  <c r="K40" i="2"/>
  <c r="L40" i="2"/>
  <c r="M40" i="2"/>
  <c r="H40" i="2"/>
  <c r="G74" i="3"/>
  <c r="G73" i="3"/>
  <c r="G101" i="2"/>
  <c r="G100" i="2"/>
  <c r="H99" i="2"/>
  <c r="H100" i="2" s="1"/>
  <c r="K82" i="2"/>
  <c r="H84" i="2"/>
  <c r="I84" i="2"/>
  <c r="J84" i="2"/>
  <c r="K84" i="2"/>
  <c r="L84" i="2"/>
  <c r="M84" i="2"/>
  <c r="G84" i="2"/>
  <c r="I45" i="3"/>
  <c r="H52" i="3"/>
  <c r="I52" i="3"/>
  <c r="J52" i="3"/>
  <c r="K52" i="3"/>
  <c r="L52" i="3"/>
  <c r="M52" i="3"/>
  <c r="H53" i="3"/>
  <c r="I53" i="3"/>
  <c r="J53" i="3"/>
  <c r="K53" i="3"/>
  <c r="L53" i="3"/>
  <c r="M53" i="3"/>
  <c r="H61" i="3"/>
  <c r="I61" i="3"/>
  <c r="J61" i="3"/>
  <c r="K61" i="3"/>
  <c r="L61" i="3"/>
  <c r="M61" i="3"/>
  <c r="G61" i="3"/>
  <c r="G53" i="3"/>
  <c r="G52" i="3"/>
  <c r="H37" i="3"/>
  <c r="I37" i="3" s="1"/>
  <c r="J37" i="3" s="1"/>
  <c r="K37" i="3" s="1"/>
  <c r="L37" i="3" s="1"/>
  <c r="M24" i="3"/>
  <c r="M28" i="3" s="1"/>
  <c r="M30" i="3" s="1"/>
  <c r="L24" i="3"/>
  <c r="L28" i="3" s="1"/>
  <c r="L30" i="3" s="1"/>
  <c r="K24" i="3"/>
  <c r="K28" i="3" s="1"/>
  <c r="K30" i="3" s="1"/>
  <c r="J24" i="3"/>
  <c r="J28" i="3" s="1"/>
  <c r="J30" i="3" s="1"/>
  <c r="I24" i="3"/>
  <c r="I28" i="3" s="1"/>
  <c r="I30" i="3" s="1"/>
  <c r="H24" i="3"/>
  <c r="H28" i="3" s="1"/>
  <c r="H30" i="3" s="1"/>
  <c r="G24" i="3"/>
  <c r="G28" i="3" s="1"/>
  <c r="G30" i="3" s="1"/>
  <c r="M13" i="3"/>
  <c r="M18" i="3" s="1"/>
  <c r="M55" i="3" s="1"/>
  <c r="L13" i="3"/>
  <c r="L18" i="3" s="1"/>
  <c r="L55" i="3" s="1"/>
  <c r="K13" i="3"/>
  <c r="K18" i="3" s="1"/>
  <c r="K55" i="3" s="1"/>
  <c r="J13" i="3"/>
  <c r="J18" i="3" s="1"/>
  <c r="J55" i="3" s="1"/>
  <c r="I13" i="3"/>
  <c r="I18" i="3" s="1"/>
  <c r="I55" i="3" s="1"/>
  <c r="H13" i="3"/>
  <c r="H18" i="3" s="1"/>
  <c r="H55" i="3" s="1"/>
  <c r="G13" i="3"/>
  <c r="G18" i="3" s="1"/>
  <c r="G55" i="3" s="1"/>
  <c r="H7" i="3"/>
  <c r="I7" i="3" s="1"/>
  <c r="J7" i="3" s="1"/>
  <c r="K7" i="3" s="1"/>
  <c r="L7" i="3" s="1"/>
  <c r="H55" i="2"/>
  <c r="I55" i="2"/>
  <c r="J55" i="2"/>
  <c r="K55" i="2"/>
  <c r="L55" i="2"/>
  <c r="M55" i="2"/>
  <c r="H56" i="2"/>
  <c r="I56" i="2"/>
  <c r="J56" i="2"/>
  <c r="K56" i="2"/>
  <c r="L56" i="2"/>
  <c r="M56" i="2"/>
  <c r="H58" i="2"/>
  <c r="I58" i="2"/>
  <c r="J58" i="2"/>
  <c r="K58" i="2"/>
  <c r="L58" i="2"/>
  <c r="M58" i="2"/>
  <c r="H60" i="2"/>
  <c r="I60" i="2"/>
  <c r="J60" i="2"/>
  <c r="K60" i="2"/>
  <c r="L60" i="2"/>
  <c r="M60" i="2"/>
  <c r="G60" i="2"/>
  <c r="G58" i="2"/>
  <c r="G57" i="2" a="1"/>
  <c r="G57" i="2" s="1"/>
  <c r="B57" i="2"/>
  <c r="G56" i="2"/>
  <c r="G55" i="2"/>
  <c r="B56" i="2"/>
  <c r="B58" i="2"/>
  <c r="B60" i="2"/>
  <c r="B55" i="2"/>
  <c r="H54" i="2"/>
  <c r="I54" i="2"/>
  <c r="J54" i="2"/>
  <c r="J64" i="2" s="1"/>
  <c r="J65" i="2" s="1"/>
  <c r="K54" i="2"/>
  <c r="K64" i="2" s="1"/>
  <c r="K65" i="2" s="1"/>
  <c r="L54" i="2"/>
  <c r="L64" i="2" s="1"/>
  <c r="L65" i="2" s="1"/>
  <c r="M54" i="2"/>
  <c r="M64" i="2" s="1"/>
  <c r="M65" i="2" s="1"/>
  <c r="G54" i="2"/>
  <c r="G64" i="2" s="1"/>
  <c r="G65" i="2" s="1"/>
  <c r="H23" i="2"/>
  <c r="H70" i="2" s="1"/>
  <c r="H71" i="2" s="1"/>
  <c r="I23" i="2"/>
  <c r="I70" i="2" s="1"/>
  <c r="I71" i="2" s="1"/>
  <c r="J23" i="2"/>
  <c r="J70" i="2" s="1"/>
  <c r="J71" i="2" s="1"/>
  <c r="K23" i="2"/>
  <c r="K70" i="2" s="1"/>
  <c r="K71" i="2" s="1"/>
  <c r="L23" i="2"/>
  <c r="L70" i="2" s="1"/>
  <c r="L71" i="2" s="1"/>
  <c r="M23" i="2"/>
  <c r="M70" i="2" s="1"/>
  <c r="M71" i="2" s="1"/>
  <c r="G23" i="2"/>
  <c r="G70" i="2" s="1"/>
  <c r="G71" i="2" s="1"/>
  <c r="H25" i="1"/>
  <c r="I25" i="1"/>
  <c r="J25" i="1"/>
  <c r="K25" i="1"/>
  <c r="L25" i="1"/>
  <c r="M25" i="1"/>
  <c r="G25" i="1"/>
  <c r="H98" i="1"/>
  <c r="H102" i="1" s="1"/>
  <c r="H104" i="1" s="1"/>
  <c r="I98" i="1"/>
  <c r="I102" i="1" s="1"/>
  <c r="I104" i="1" s="1"/>
  <c r="J98" i="1"/>
  <c r="J102" i="1" s="1"/>
  <c r="J104" i="1" s="1"/>
  <c r="K98" i="1"/>
  <c r="K102" i="1" s="1"/>
  <c r="K104" i="1" s="1"/>
  <c r="L98" i="1"/>
  <c r="L102" i="1" s="1"/>
  <c r="L104" i="1" s="1"/>
  <c r="M98" i="1"/>
  <c r="M102" i="1" s="1"/>
  <c r="M104" i="1" s="1"/>
  <c r="G98" i="1"/>
  <c r="G102" i="1" s="1"/>
  <c r="G104" i="1" s="1"/>
  <c r="J92" i="1"/>
  <c r="K92" i="1"/>
  <c r="H87" i="1"/>
  <c r="H92" i="1" s="1"/>
  <c r="I87" i="1"/>
  <c r="I92" i="1" s="1"/>
  <c r="J87" i="1"/>
  <c r="K87" i="1"/>
  <c r="L87" i="1"/>
  <c r="L92" i="1" s="1"/>
  <c r="M87" i="1"/>
  <c r="M92" i="1" s="1"/>
  <c r="G87" i="1"/>
  <c r="G92" i="1" s="1"/>
  <c r="H81" i="1"/>
  <c r="I81" i="1" s="1"/>
  <c r="J81" i="1" s="1"/>
  <c r="K81" i="1" s="1"/>
  <c r="L81" i="1" s="1"/>
  <c r="H69" i="1"/>
  <c r="H73" i="1" s="1"/>
  <c r="I69" i="1"/>
  <c r="I73" i="1" s="1"/>
  <c r="J69" i="1"/>
  <c r="J73" i="1" s="1"/>
  <c r="K69" i="1"/>
  <c r="K73" i="1" s="1"/>
  <c r="L69" i="1"/>
  <c r="L73" i="1" s="1"/>
  <c r="M69" i="1"/>
  <c r="M73" i="1" s="1"/>
  <c r="G69" i="1"/>
  <c r="G73" i="1" s="1"/>
  <c r="H65" i="1"/>
  <c r="I65" i="1"/>
  <c r="J65" i="1"/>
  <c r="K65" i="1"/>
  <c r="L65" i="1"/>
  <c r="M65" i="1"/>
  <c r="G65" i="1"/>
  <c r="G57" i="1"/>
  <c r="G82" i="2" s="1"/>
  <c r="H57" i="1"/>
  <c r="H82" i="2" s="1"/>
  <c r="I57" i="1"/>
  <c r="I82" i="2" s="1"/>
  <c r="J57" i="1"/>
  <c r="J82" i="2" s="1"/>
  <c r="K57" i="1"/>
  <c r="L57" i="1"/>
  <c r="L82" i="2" s="1"/>
  <c r="M57" i="1"/>
  <c r="M82" i="2" s="1"/>
  <c r="H43" i="1"/>
  <c r="I43" i="1" s="1"/>
  <c r="J43" i="1" s="1"/>
  <c r="K43" i="1" s="1"/>
  <c r="L43" i="1" s="1"/>
  <c r="H22" i="1"/>
  <c r="I22" i="1"/>
  <c r="J22" i="1"/>
  <c r="K22" i="1"/>
  <c r="L22" i="1"/>
  <c r="M22" i="1"/>
  <c r="H11" i="1"/>
  <c r="I11" i="1"/>
  <c r="J11" i="1"/>
  <c r="K11" i="1"/>
  <c r="L11" i="1"/>
  <c r="M11" i="1"/>
  <c r="G11" i="1"/>
  <c r="G22" i="1"/>
  <c r="H7" i="1"/>
  <c r="I7" i="1" s="1"/>
  <c r="J7" i="1" s="1"/>
  <c r="K7" i="1" s="1"/>
  <c r="L7" i="1" s="1"/>
  <c r="I115" i="2" l="1"/>
  <c r="H45" i="3"/>
  <c r="I47" i="3" s="1"/>
  <c r="J47" i="3"/>
  <c r="J115" i="2"/>
  <c r="H115" i="2"/>
  <c r="L47" i="3"/>
  <c r="K47" i="3"/>
  <c r="M42" i="3"/>
  <c r="G75" i="3"/>
  <c r="K42" i="3"/>
  <c r="J42" i="3"/>
  <c r="K41" i="3"/>
  <c r="L49" i="3"/>
  <c r="H41" i="3"/>
  <c r="L42" i="3"/>
  <c r="L39" i="3"/>
  <c r="L114" i="2"/>
  <c r="M115" i="2" s="1"/>
  <c r="K114" i="2"/>
  <c r="K115" i="2" s="1"/>
  <c r="M108" i="2"/>
  <c r="M111" i="2" s="1"/>
  <c r="L108" i="2"/>
  <c r="L111" i="2" s="1"/>
  <c r="K108" i="2"/>
  <c r="K111" i="2" s="1"/>
  <c r="J108" i="2"/>
  <c r="J111" i="2" s="1"/>
  <c r="J117" i="2" s="1"/>
  <c r="H13" i="4"/>
  <c r="L46" i="2"/>
  <c r="G46" i="2"/>
  <c r="M46" i="2"/>
  <c r="K46" i="2"/>
  <c r="J46" i="2"/>
  <c r="I46" i="2"/>
  <c r="H46" i="2"/>
  <c r="H101" i="2"/>
  <c r="I99" i="2"/>
  <c r="I101" i="2" s="1"/>
  <c r="J41" i="3"/>
  <c r="I41" i="3"/>
  <c r="M39" i="3"/>
  <c r="J49" i="3"/>
  <c r="J39" i="3"/>
  <c r="K49" i="3"/>
  <c r="I49" i="3"/>
  <c r="H42" i="3"/>
  <c r="M50" i="3"/>
  <c r="M41" i="3"/>
  <c r="K39" i="3"/>
  <c r="I42" i="3"/>
  <c r="I39" i="3"/>
  <c r="H49" i="3"/>
  <c r="H39" i="3"/>
  <c r="L41" i="3"/>
  <c r="I61" i="2"/>
  <c r="I74" i="2" s="1"/>
  <c r="I75" i="2" s="1"/>
  <c r="I64" i="2"/>
  <c r="H61" i="2"/>
  <c r="H74" i="2" s="1"/>
  <c r="H75" i="2" s="1"/>
  <c r="H64" i="2"/>
  <c r="G61" i="2"/>
  <c r="G74" i="2" s="1"/>
  <c r="G75" i="2" s="1"/>
  <c r="M61" i="2"/>
  <c r="L61" i="2"/>
  <c r="K61" i="2"/>
  <c r="K74" i="2" s="1"/>
  <c r="K75" i="2" s="1"/>
  <c r="J61" i="2"/>
  <c r="M49" i="3"/>
  <c r="M45" i="3"/>
  <c r="M47" i="3" s="1"/>
  <c r="L50" i="3"/>
  <c r="K50" i="3"/>
  <c r="J50" i="3"/>
  <c r="I50" i="3"/>
  <c r="H50" i="3"/>
  <c r="G50" i="3"/>
  <c r="G42" i="3"/>
  <c r="G45" i="3"/>
  <c r="H47" i="3" s="1"/>
  <c r="G41" i="3"/>
  <c r="G49" i="3"/>
  <c r="G39" i="3"/>
  <c r="G23" i="1"/>
  <c r="L23" i="1"/>
  <c r="J23" i="1"/>
  <c r="I23" i="1"/>
  <c r="H23" i="1"/>
  <c r="M23" i="1"/>
  <c r="K23" i="1"/>
  <c r="J109" i="2" l="1"/>
  <c r="J112" i="2" s="1"/>
  <c r="J118" i="2" s="1"/>
  <c r="J74" i="2"/>
  <c r="J75" i="2" s="1"/>
  <c r="L109" i="2"/>
  <c r="L112" i="2" s="1"/>
  <c r="L74" i="2"/>
  <c r="L75" i="2" s="1"/>
  <c r="M109" i="2"/>
  <c r="M112" i="2" s="1"/>
  <c r="M74" i="2"/>
  <c r="M75" i="2" s="1"/>
  <c r="M117" i="2"/>
  <c r="M118" i="2"/>
  <c r="K117" i="2"/>
  <c r="K118" i="2"/>
  <c r="L115" i="2"/>
  <c r="H65" i="2"/>
  <c r="H108" i="2"/>
  <c r="H111" i="2" s="1"/>
  <c r="H117" i="2" s="1"/>
  <c r="H60" i="3"/>
  <c r="H62" i="3" s="1"/>
  <c r="H109" i="2"/>
  <c r="H112" i="2" s="1"/>
  <c r="H118" i="2" s="1"/>
  <c r="I65" i="2"/>
  <c r="I108" i="2"/>
  <c r="I111" i="2" s="1"/>
  <c r="I117" i="2" s="1"/>
  <c r="I60" i="3"/>
  <c r="I62" i="3" s="1"/>
  <c r="I109" i="2"/>
  <c r="I112" i="2" s="1"/>
  <c r="I118" i="2" s="1"/>
  <c r="K109" i="2"/>
  <c r="K112" i="2" s="1"/>
  <c r="G109" i="2"/>
  <c r="G112" i="2" s="1"/>
  <c r="I100" i="2"/>
  <c r="J99" i="2"/>
  <c r="J101" i="2" s="1"/>
  <c r="I67" i="2"/>
  <c r="I62" i="2"/>
  <c r="H62" i="2"/>
  <c r="H67" i="2"/>
  <c r="H68" i="2" s="1"/>
  <c r="M60" i="3"/>
  <c r="M62" i="3" s="1"/>
  <c r="M62" i="2"/>
  <c r="M67" i="2"/>
  <c r="G67" i="2"/>
  <c r="G62" i="2"/>
  <c r="G60" i="3"/>
  <c r="G62" i="3" s="1"/>
  <c r="L67" i="2"/>
  <c r="L62" i="2"/>
  <c r="G9" i="5" s="1"/>
  <c r="G10" i="5" s="1"/>
  <c r="L60" i="3"/>
  <c r="L62" i="3" s="1"/>
  <c r="J62" i="2"/>
  <c r="J67" i="2"/>
  <c r="J60" i="3"/>
  <c r="J62" i="3" s="1"/>
  <c r="K67" i="2"/>
  <c r="K62" i="2"/>
  <c r="K60" i="3"/>
  <c r="K62" i="3" s="1"/>
  <c r="M35" i="1"/>
  <c r="M38" i="1" s="1"/>
  <c r="M45" i="1" s="1"/>
  <c r="M58" i="1" s="1"/>
  <c r="M83" i="2" s="1"/>
  <c r="M91" i="2" s="1"/>
  <c r="M96" i="2" s="1"/>
  <c r="M26" i="1"/>
  <c r="K35" i="1"/>
  <c r="K38" i="1" s="1"/>
  <c r="K45" i="1" s="1"/>
  <c r="K58" i="1" s="1"/>
  <c r="K83" i="2" s="1"/>
  <c r="K91" i="2" s="1"/>
  <c r="K96" i="2" s="1"/>
  <c r="K26" i="1"/>
  <c r="H35" i="1"/>
  <c r="H38" i="1" s="1"/>
  <c r="H45" i="1" s="1"/>
  <c r="H58" i="1" s="1"/>
  <c r="H83" i="2" s="1"/>
  <c r="H91" i="2" s="1"/>
  <c r="H96" i="2" s="1"/>
  <c r="H26" i="1"/>
  <c r="J35" i="1"/>
  <c r="J38" i="1" s="1"/>
  <c r="J45" i="1" s="1"/>
  <c r="J58" i="1" s="1"/>
  <c r="J83" i="2" s="1"/>
  <c r="J91" i="2" s="1"/>
  <c r="J96" i="2" s="1"/>
  <c r="J26" i="1"/>
  <c r="L35" i="1"/>
  <c r="L38" i="1" s="1"/>
  <c r="L45" i="1" s="1"/>
  <c r="L58" i="1" s="1"/>
  <c r="L83" i="2" s="1"/>
  <c r="L91" i="2" s="1"/>
  <c r="L96" i="2" s="1"/>
  <c r="L26" i="1"/>
  <c r="G35" i="1"/>
  <c r="G38" i="1" s="1"/>
  <c r="G45" i="1" s="1"/>
  <c r="G58" i="1" s="1"/>
  <c r="G83" i="2" s="1"/>
  <c r="G91" i="2" s="1"/>
  <c r="G96" i="2" s="1"/>
  <c r="G26" i="1"/>
  <c r="I35" i="1"/>
  <c r="I38" i="1" s="1"/>
  <c r="I45" i="1" s="1"/>
  <c r="I58" i="1" s="1"/>
  <c r="I83" i="2" s="1"/>
  <c r="I91" i="2" s="1"/>
  <c r="I96" i="2" s="1"/>
  <c r="I26" i="1"/>
  <c r="G14" i="5" l="1"/>
  <c r="G20" i="5" s="1"/>
  <c r="G26" i="5" s="1"/>
  <c r="G13" i="5"/>
  <c r="G19" i="5" s="1"/>
  <c r="G25" i="5" s="1"/>
  <c r="G12" i="5"/>
  <c r="G18" i="5" s="1"/>
  <c r="G24" i="5" s="1"/>
  <c r="L117" i="2"/>
  <c r="L118" i="2"/>
  <c r="K97" i="2"/>
  <c r="H57" i="3"/>
  <c r="H58" i="3" s="1"/>
  <c r="H97" i="2"/>
  <c r="J97" i="2"/>
  <c r="I57" i="3"/>
  <c r="I58" i="3" s="1"/>
  <c r="I97" i="2"/>
  <c r="L97" i="2"/>
  <c r="G97" i="2"/>
  <c r="K99" i="2"/>
  <c r="K101" i="2" s="1"/>
  <c r="J100" i="2"/>
  <c r="M97" i="2"/>
  <c r="I68" i="2"/>
  <c r="M57" i="3"/>
  <c r="M58" i="3" s="1"/>
  <c r="M68" i="2"/>
  <c r="J57" i="3"/>
  <c r="J58" i="3" s="1"/>
  <c r="J68" i="2"/>
  <c r="L57" i="3"/>
  <c r="L58" i="3" s="1"/>
  <c r="L68" i="2"/>
  <c r="K68" i="2"/>
  <c r="K57" i="3"/>
  <c r="K58" i="3" s="1"/>
  <c r="G57" i="3"/>
  <c r="G58" i="3" s="1"/>
  <c r="G68" i="2"/>
  <c r="G61" i="1"/>
  <c r="G86" i="2" s="1" a="1"/>
  <c r="J94" i="2" s="1"/>
  <c r="G75" i="1"/>
  <c r="L75" i="1"/>
  <c r="L61" i="1"/>
  <c r="J75" i="1"/>
  <c r="J61" i="1"/>
  <c r="H75" i="1"/>
  <c r="H61" i="1"/>
  <c r="K75" i="1"/>
  <c r="K61" i="1"/>
  <c r="I75" i="1"/>
  <c r="I61" i="1"/>
  <c r="M61" i="1"/>
  <c r="M75" i="1"/>
  <c r="G28" i="5" l="1"/>
  <c r="I94" i="2"/>
  <c r="G86" i="2"/>
  <c r="J87" i="2"/>
  <c r="K87" i="2"/>
  <c r="L87" i="2"/>
  <c r="M87" i="2"/>
  <c r="H87" i="2"/>
  <c r="I87" i="2"/>
  <c r="L88" i="2"/>
  <c r="I89" i="2"/>
  <c r="M88" i="2"/>
  <c r="L89" i="2"/>
  <c r="K89" i="2"/>
  <c r="M89" i="2"/>
  <c r="K88" i="2"/>
  <c r="H89" i="2"/>
  <c r="J88" i="2"/>
  <c r="I88" i="2"/>
  <c r="H88" i="2"/>
  <c r="J89" i="2"/>
  <c r="I93" i="2"/>
  <c r="M93" i="2"/>
  <c r="K93" i="2"/>
  <c r="H93" i="2"/>
  <c r="J93" i="2"/>
  <c r="L93" i="2"/>
  <c r="M94" i="2"/>
  <c r="H94" i="2"/>
  <c r="K94" i="2"/>
  <c r="L94" i="2"/>
  <c r="L99" i="2"/>
  <c r="L101" i="2" s="1"/>
  <c r="K100" i="2"/>
  <c r="G87" i="2" l="1"/>
  <c r="G89" i="2"/>
  <c r="G88" i="2"/>
  <c r="G93" i="2"/>
  <c r="G94" i="2"/>
  <c r="L100" i="2"/>
  <c r="M99" i="2"/>
  <c r="M100" i="2" l="1"/>
  <c r="M10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<sst xmlns="http://schemas.openxmlformats.org/spreadsheetml/2006/main" count="314" uniqueCount="209">
  <si>
    <t>Income Statement</t>
  </si>
  <si>
    <t>In thousands</t>
  </si>
  <si>
    <t>Holley Inc.</t>
  </si>
  <si>
    <t>Revenue</t>
  </si>
  <si>
    <t>COGS</t>
  </si>
  <si>
    <t>Gross Profit</t>
  </si>
  <si>
    <t>SG&amp;A</t>
  </si>
  <si>
    <t>R&amp;D</t>
  </si>
  <si>
    <t>Amortization of Intangible Assets</t>
  </si>
  <si>
    <t>Acquisition and Restructuyring Costs</t>
  </si>
  <si>
    <t>Related Party Acquisiton and Management Fee Costs</t>
  </si>
  <si>
    <t>Other Operating Expense</t>
  </si>
  <si>
    <t>Total OpEx</t>
  </si>
  <si>
    <t>Change in Fair Value of Warrant Liability</t>
  </si>
  <si>
    <t>H12026</t>
  </si>
  <si>
    <t>EBIT</t>
  </si>
  <si>
    <t>Impairment of Indefinite-Lived Intangible Assets</t>
  </si>
  <si>
    <t>Impairment of Goodwill</t>
  </si>
  <si>
    <t>Loss on Sale of Assets</t>
  </si>
  <si>
    <t>Change in Fair Value of Earn-Out Liability</t>
  </si>
  <si>
    <t>Interest Expense</t>
  </si>
  <si>
    <t>EBT</t>
  </si>
  <si>
    <t>Loss On Early Extinguishment of Debt</t>
  </si>
  <si>
    <t>Taxes</t>
  </si>
  <si>
    <t>Net Income (Loss)</t>
  </si>
  <si>
    <t>D&amp;A</t>
  </si>
  <si>
    <t>EBITDA</t>
  </si>
  <si>
    <t>Cash Flow Statement</t>
  </si>
  <si>
    <t>Net Income</t>
  </si>
  <si>
    <t>Depreciation</t>
  </si>
  <si>
    <t>Amortization of Intangibles</t>
  </si>
  <si>
    <t>Other Non-Cash Adjustments</t>
  </si>
  <si>
    <t>Working Capital:</t>
  </si>
  <si>
    <t>AR</t>
  </si>
  <si>
    <t>Inventory</t>
  </si>
  <si>
    <t>Prepaids &amp; Other Assets</t>
  </si>
  <si>
    <t>AP</t>
  </si>
  <si>
    <t>Accrued Interest</t>
  </si>
  <si>
    <t>Accrued &amp; Other Liabilities</t>
  </si>
  <si>
    <t>Change in WC</t>
  </si>
  <si>
    <t>CFO</t>
  </si>
  <si>
    <t>Capex</t>
  </si>
  <si>
    <t>FCF</t>
  </si>
  <si>
    <t>Acquisitions/License Purchases</t>
  </si>
  <si>
    <t>Assets/Business Sales</t>
  </si>
  <si>
    <t>CFI</t>
  </si>
  <si>
    <t>Debt Issued</t>
  </si>
  <si>
    <t>Debt Principal Repayments</t>
  </si>
  <si>
    <t>Net Debt Issuance (Repayment)</t>
  </si>
  <si>
    <t>Share Repurchases</t>
  </si>
  <si>
    <t>Dividends</t>
  </si>
  <si>
    <t>Other Financing</t>
  </si>
  <si>
    <t>CFF</t>
  </si>
  <si>
    <t>Net Change in Cash</t>
  </si>
  <si>
    <t>Ending Cash</t>
  </si>
  <si>
    <t>Balance Sheet</t>
  </si>
  <si>
    <t>Cash</t>
  </si>
  <si>
    <t>Prepaids &amp; Other Current Assets</t>
  </si>
  <si>
    <t>Total Current Assets</t>
  </si>
  <si>
    <t>PP&amp;E, net</t>
  </si>
  <si>
    <t>Goodwill</t>
  </si>
  <si>
    <t>Intangibles, net</t>
  </si>
  <si>
    <t>Right of Use Assets</t>
  </si>
  <si>
    <t>Total Assets</t>
  </si>
  <si>
    <t>Accrued &amp; Other Current Liabilities</t>
  </si>
  <si>
    <t>Current Portion of Debt</t>
  </si>
  <si>
    <t>Total Current Liabilities</t>
  </si>
  <si>
    <t>Long-Term Debt</t>
  </si>
  <si>
    <t>Deferred Taxes</t>
  </si>
  <si>
    <t>Other Noncurrent Liabilities</t>
  </si>
  <si>
    <t>Total Liabilities</t>
  </si>
  <si>
    <t>Stockholders Equity</t>
  </si>
  <si>
    <t>—</t>
  </si>
  <si>
    <t>Total L &amp; SE</t>
  </si>
  <si>
    <t>GAAP EBIT</t>
  </si>
  <si>
    <t>GAAP EBIT Margins</t>
  </si>
  <si>
    <t>GAAP EBITDA</t>
  </si>
  <si>
    <t>GAAP EBITDA Margin</t>
  </si>
  <si>
    <t>Normalized Earnings &amp; Margins</t>
  </si>
  <si>
    <t>Ratios</t>
  </si>
  <si>
    <t>Working Capital</t>
  </si>
  <si>
    <t>Current Ratio</t>
  </si>
  <si>
    <t>Quick Ratio</t>
  </si>
  <si>
    <t>Total Debt</t>
  </si>
  <si>
    <t>Net Debt</t>
  </si>
  <si>
    <t>Debt / Equity</t>
  </si>
  <si>
    <t>Debt / Assets</t>
  </si>
  <si>
    <t>Tangible Book Value</t>
  </si>
  <si>
    <t>Book Value</t>
  </si>
  <si>
    <t>Googwill &amp; Intangibles (% of Assets)</t>
  </si>
  <si>
    <t>Normalized EBITDA</t>
  </si>
  <si>
    <t>Net Debt / EBITDA</t>
  </si>
  <si>
    <t>Interest Coverage (EBIT / Interest Expense)</t>
  </si>
  <si>
    <t>Normalized EBIT</t>
  </si>
  <si>
    <t>Normalized EBIT Margin</t>
  </si>
  <si>
    <t>Normalized EBITDA Margin</t>
  </si>
  <si>
    <t>Tarif Refund</t>
  </si>
  <si>
    <t>Free Cash Flow Analysis</t>
  </si>
  <si>
    <t>FCF Margin</t>
  </si>
  <si>
    <t>FCF before WC</t>
  </si>
  <si>
    <t>FCF / Normalized EBITDA</t>
  </si>
  <si>
    <t>FCF / Normalized EBIT</t>
  </si>
  <si>
    <t>FCF Before WC / Normalized EBIT</t>
  </si>
  <si>
    <t>FCF Before WC / Normalized EBITDA</t>
  </si>
  <si>
    <t>Net Debt Reduction</t>
  </si>
  <si>
    <t>Normalized FCF</t>
  </si>
  <si>
    <t>Normalized FCF Yield</t>
  </si>
  <si>
    <t>FCF Yield on EV</t>
  </si>
  <si>
    <t>FCF Yield on MC</t>
  </si>
  <si>
    <t>Normalized FCF Yield on EV</t>
  </si>
  <si>
    <t>Debt Stack</t>
  </si>
  <si>
    <t>First-Lien Term Loan</t>
  </si>
  <si>
    <t>Revolver Drawn</t>
  </si>
  <si>
    <t>Other Debt</t>
  </si>
  <si>
    <t>Finance Lease Debt</t>
  </si>
  <si>
    <t>Gross Debt Principal</t>
  </si>
  <si>
    <t>Net Debt - Principal Basis</t>
  </si>
  <si>
    <t>Revenue Growth</t>
  </si>
  <si>
    <t>Growth, Margins</t>
  </si>
  <si>
    <t>Gross Profit Margins</t>
  </si>
  <si>
    <t>SG&amp;A (% of Revenue)</t>
  </si>
  <si>
    <t>COGS Growth</t>
  </si>
  <si>
    <t>R&amp;D (% of Revenue)</t>
  </si>
  <si>
    <t>Tax Rate</t>
  </si>
  <si>
    <t>H2 2026</t>
  </si>
  <si>
    <t>2027E</t>
  </si>
  <si>
    <t>2028E</t>
  </si>
  <si>
    <t>Beginning First Lien Debt</t>
  </si>
  <si>
    <t>Mandatory Principal Repayment</t>
  </si>
  <si>
    <t>Voluntary Debt Repayment</t>
  </si>
  <si>
    <t>Ending First Lien Debt</t>
  </si>
  <si>
    <t>American Performance</t>
  </si>
  <si>
    <t>Euro &amp; Import</t>
  </si>
  <si>
    <t>Truck &amp; Off-Road</t>
  </si>
  <si>
    <t>Safety &amp; Racing</t>
  </si>
  <si>
    <t>%</t>
  </si>
  <si>
    <t>Total Revenue</t>
  </si>
  <si>
    <t>ROIC</t>
  </si>
  <si>
    <t>NOPAT</t>
  </si>
  <si>
    <t>Nornalized NOPAT</t>
  </si>
  <si>
    <t>Invested Capital</t>
  </si>
  <si>
    <t>Normalized ROIC</t>
  </si>
  <si>
    <t>Invested Capital Average</t>
  </si>
  <si>
    <t xml:space="preserve"> </t>
  </si>
  <si>
    <t>Divisions Reporting</t>
  </si>
  <si>
    <t>Four Divisions:</t>
  </si>
  <si>
    <t>Lease Liabilities</t>
  </si>
  <si>
    <t>Enterprise Value (8x EBIT)</t>
  </si>
  <si>
    <t>Enterprise Value (10x EBIT)</t>
  </si>
  <si>
    <t>Enterprise Value (12x EBIT)</t>
  </si>
  <si>
    <t>Equity Value (10x EBIT)</t>
  </si>
  <si>
    <t>Equity Value (12x EBIT)</t>
  </si>
  <si>
    <t>Equity Value (8x EBIT)</t>
  </si>
  <si>
    <t>Shares Outstanding</t>
  </si>
  <si>
    <t>Per Share (8x EBIT)</t>
  </si>
  <si>
    <t>Per Share (10x EBIT)</t>
  </si>
  <si>
    <t>Per Share (12x EBIT)</t>
  </si>
  <si>
    <t>Expected Value (10% EBIT Margins)</t>
  </si>
  <si>
    <t>Expected Value (13% EBIT Margins)</t>
  </si>
  <si>
    <t>Expected Value (16% EBIT Margins)</t>
  </si>
  <si>
    <t>Model Output</t>
  </si>
  <si>
    <t>Overall EV</t>
  </si>
  <si>
    <t>Current Share Price</t>
  </si>
  <si>
    <t>Normalized Operating Margins</t>
  </si>
  <si>
    <t>Implied Upside from Overall EV</t>
  </si>
  <si>
    <t>EBITA</t>
  </si>
  <si>
    <t>Amoritzation</t>
  </si>
  <si>
    <t>EBITA Margin</t>
  </si>
  <si>
    <t>Valuation EBIT</t>
  </si>
  <si>
    <t>Normalized EBITA</t>
  </si>
  <si>
    <t>Expected Value (13% EBITA Margins)</t>
  </si>
  <si>
    <t>Expected Value (16% EBITA Margins)</t>
  </si>
  <si>
    <t>Expected Value (18% EBITA Margins)</t>
  </si>
  <si>
    <t>Enterprise Value (7x EBITA)</t>
  </si>
  <si>
    <t>Equity Value (7x EBITA)</t>
  </si>
  <si>
    <t>Per Share (7x EBITA)</t>
  </si>
  <si>
    <t>Enterprise Value (9x EBITA)</t>
  </si>
  <si>
    <t>Enterprise Value (11x EBITA)</t>
  </si>
  <si>
    <t>Equity Value (9x EBITA)</t>
  </si>
  <si>
    <t>Equity Value (11x EBITA)</t>
  </si>
  <si>
    <t>Per Share (9x EBITA)</t>
  </si>
  <si>
    <t>Per Share (11x EBITA)</t>
  </si>
  <si>
    <t>Compensation</t>
  </si>
  <si>
    <t>Stock Price</t>
  </si>
  <si>
    <t>Shares Earned</t>
  </si>
  <si>
    <t>Total</t>
  </si>
  <si>
    <t>Net Debt w/ OpLease</t>
  </si>
  <si>
    <t>Net Debt w/o OpLeases</t>
  </si>
  <si>
    <t>Compounder?</t>
  </si>
  <si>
    <t>Criteria</t>
  </si>
  <si>
    <t>Holley Today</t>
  </si>
  <si>
    <t>Decentralization</t>
  </si>
  <si>
    <t>EBITA Margins</t>
  </si>
  <si>
    <t>Returns on Capital Employed</t>
  </si>
  <si>
    <t>Acquistions Strategy</t>
  </si>
  <si>
    <t>Customer Retention</t>
  </si>
  <si>
    <t>Procing Power</t>
  </si>
  <si>
    <t>Partial</t>
  </si>
  <si>
    <t>Mid-Teens</t>
  </si>
  <si>
    <t xml:space="preserve">~6.5% </t>
  </si>
  <si>
    <t>High-single digits</t>
  </si>
  <si>
    <t>Large</t>
  </si>
  <si>
    <t>Improving, unproven</t>
  </si>
  <si>
    <t>Hard to measure</t>
  </si>
  <si>
    <t>Some evidence</t>
  </si>
  <si>
    <t>Reinvestment Runway</t>
  </si>
  <si>
    <t>Normalized EBITA Margins</t>
  </si>
  <si>
    <t>Overall Expected Value</t>
  </si>
  <si>
    <t>Valuation 18% EBITA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</si>
</sst>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\A"/>
    <numFmt numFmtId="165" formatCode="0.0%"/>
    <numFmt numFmtId="166" formatCode="0.00\x"/>
    <numFmt numFmtId="167" formatCode="0000&quot;E&quot;"/>
  </numFmts>
  <fonts count="11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Calibri"/>
      <family val="2"/>
    </font>
    <font>
      <sz val="20"/>
      <color theme="0"/>
      <name val="Calibri"/>
      <family val="2"/>
    </font>
    <font>
      <sz val="12"/>
      <color theme="0"/>
      <name val="Calibri"/>
      <family val="2"/>
    </font>
    <font>
      <i/>
      <sz val="12"/>
      <color theme="1"/>
      <name val="Calibri"/>
      <family val="2"/>
    </font>
    <font>
      <sz val="12"/>
      <color theme="3" tint="0.499984740745262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b/>
      <sz val="12"/>
      <color theme="3" tint="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01E3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3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5" fillId="0" borderId="0" xfId="0" applyFont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37" fontId="6" fillId="0" borderId="0" xfId="0" applyNumberFormat="1" applyFont="1"/>
    <xf numFmtId="37" fontId="6" fillId="0" borderId="1" xfId="0" applyNumberFormat="1" applyFont="1" applyBorder="1"/>
    <xf numFmtId="0" fontId="7" fillId="0" borderId="0" xfId="0" applyFont="1"/>
    <xf numFmtId="37" fontId="7" fillId="0" borderId="0" xfId="0" applyNumberFormat="1" applyFont="1"/>
    <xf numFmtId="0" fontId="2" fillId="0" borderId="0" xfId="0" applyFont="1" applyAlignment="1">
      <alignment horizontal="left" indent="1"/>
    </xf>
    <xf numFmtId="37" fontId="8" fillId="0" borderId="1" xfId="0" applyNumberFormat="1" applyFont="1" applyBorder="1"/>
    <xf numFmtId="37" fontId="9" fillId="0" borderId="1" xfId="0" applyNumberFormat="1" applyFont="1" applyBorder="1"/>
    <xf numFmtId="0" fontId="2" fillId="0" borderId="0" xfId="0" applyFont="1" applyAlignment="1">
      <alignment horizontal="left" indent="2"/>
    </xf>
    <xf numFmtId="0" fontId="7" fillId="0" borderId="0" xfId="0" applyFont="1" applyAlignment="1">
      <alignment horizontal="left" indent="1"/>
    </xf>
    <xf numFmtId="37" fontId="2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right" vertical="center" wrapText="1"/>
    </xf>
    <xf numFmtId="3" fontId="7" fillId="0" borderId="0" xfId="0" applyNumberFormat="1" applyFont="1" applyAlignment="1">
      <alignment horizontal="right" vertical="center" wrapText="1"/>
    </xf>
    <xf numFmtId="165" fontId="7" fillId="0" borderId="0" xfId="1" applyNumberFormat="1" applyFont="1"/>
    <xf numFmtId="165" fontId="2" fillId="0" borderId="0" xfId="1" applyNumberFormat="1" applyFont="1"/>
    <xf numFmtId="166" fontId="2" fillId="0" borderId="0" xfId="0" applyNumberFormat="1" applyFont="1"/>
    <xf numFmtId="164" fontId="7" fillId="0" borderId="1" xfId="0" applyNumberFormat="1" applyFont="1" applyBorder="1"/>
    <xf numFmtId="164" fontId="7" fillId="0" borderId="1" xfId="0" applyNumberFormat="1" applyFont="1" applyBorder="1" applyAlignment="1">
      <alignment horizontal="right"/>
    </xf>
    <xf numFmtId="165" fontId="2" fillId="0" borderId="0" xfId="1" applyNumberFormat="1" applyFont="1" applyBorder="1"/>
    <xf numFmtId="165" fontId="6" fillId="0" borderId="0" xfId="1" applyNumberFormat="1" applyFont="1"/>
    <xf numFmtId="9" fontId="7" fillId="0" borderId="0" xfId="1" applyFont="1"/>
    <xf numFmtId="165" fontId="6" fillId="0" borderId="1" xfId="1" applyNumberFormat="1" applyFont="1" applyBorder="1"/>
    <xf numFmtId="167" fontId="2" fillId="0" borderId="1" xfId="0" applyNumberFormat="1" applyFont="1" applyBorder="1"/>
    <xf numFmtId="37" fontId="10" fillId="0" borderId="0" xfId="0" applyNumberFormat="1" applyFont="1"/>
    <xf numFmtId="37" fontId="8" fillId="0" borderId="0" xfId="0" applyNumberFormat="1" applyFont="1"/>
    <xf numFmtId="165" fontId="8" fillId="0" borderId="0" xfId="1" applyNumberFormat="1" applyFont="1"/>
    <xf numFmtId="2" fontId="2" fillId="0" borderId="0" xfId="0" applyNumberFormat="1" applyFont="1"/>
    <xf numFmtId="0" fontId="9" fillId="0" borderId="0" xfId="0" applyFont="1"/>
    <xf numFmtId="2" fontId="9" fillId="0" borderId="0" xfId="0" applyNumberFormat="1" applyFont="1"/>
    <xf numFmtId="2" fontId="7" fillId="0" borderId="0" xfId="0" applyNumberFormat="1" applyFont="1"/>
    <xf numFmtId="0" fontId="7" fillId="0" borderId="0" xfId="0" applyFont="1" applyAlignment="1">
      <alignment horizontal="right"/>
    </xf>
    <xf numFmtId="0" fontId="4" fillId="0" borderId="0" xfId="0" applyFont="1" applyFill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164" fontId="2" fillId="0" borderId="3" xfId="0" applyNumberFormat="1" applyFont="1" applyBorder="1" applyAlignment="1">
      <alignment horizontal="left"/>
    </xf>
    <xf numFmtId="164" fontId="7" fillId="0" borderId="2" xfId="0" applyNumberFormat="1" applyFont="1" applyBorder="1" applyAlignment="1">
      <alignment horizontal="left"/>
    </xf>
    <xf numFmtId="164" fontId="7" fillId="0" borderId="4" xfId="0" applyNumberFormat="1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8801-C7D6-466C-8DAE-3DDDC3F75A60}">
  <dimension ref="B2:N134"/>
  <sheetViews>
    <sheetView showGridLines="0" topLeftCell="A19" workbookViewId="0">
      <selection activeCell="G28" sqref="G28:M29"/>
    </sheetView>
  </sheetViews>
  <sheetFormatPr defaultRowHeight="15.75" x14ac:dyDescent="0.25"/>
  <cols>
    <col min="1" max="5" width="9.140625" style="1"/>
    <col min="6" max="6" width="28.140625" style="1" customWidth="1"/>
    <col min="7" max="13" width="12.85546875" style="1" customWidth="1"/>
    <col min="14" max="16384" width="9.140625" style="1"/>
  </cols>
  <sheetData>
    <row r="2" spans="2:14" ht="26.25" x14ac:dyDescent="0.4"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5" spans="2:14" ht="26.25" x14ac:dyDescent="0.4">
      <c r="B5" s="2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2:14" ht="16.5" thickBot="1" x14ac:dyDescent="0.3">
      <c r="B7" s="5" t="s">
        <v>1</v>
      </c>
      <c r="G7" s="6">
        <v>2020</v>
      </c>
      <c r="H7" s="6">
        <f t="shared" ref="H7:L7" si="0">G7+1</f>
        <v>2021</v>
      </c>
      <c r="I7" s="6">
        <f t="shared" si="0"/>
        <v>2022</v>
      </c>
      <c r="J7" s="6">
        <f t="shared" si="0"/>
        <v>2023</v>
      </c>
      <c r="K7" s="6">
        <f t="shared" si="0"/>
        <v>2024</v>
      </c>
      <c r="L7" s="6">
        <f t="shared" si="0"/>
        <v>2025</v>
      </c>
      <c r="M7" s="7" t="s">
        <v>14</v>
      </c>
    </row>
    <row r="9" spans="2:14" x14ac:dyDescent="0.25">
      <c r="B9" s="1" t="s">
        <v>3</v>
      </c>
      <c r="G9" s="8">
        <v>504179</v>
      </c>
      <c r="H9" s="8">
        <v>692847</v>
      </c>
      <c r="I9" s="8">
        <v>688415</v>
      </c>
      <c r="J9" s="8">
        <v>659704</v>
      </c>
      <c r="K9" s="8">
        <v>602224</v>
      </c>
      <c r="L9" s="8">
        <v>613514</v>
      </c>
      <c r="M9" s="8">
        <v>319337</v>
      </c>
    </row>
    <row r="10" spans="2:14" ht="16.5" thickBot="1" x14ac:dyDescent="0.3">
      <c r="B10" s="1" t="s">
        <v>4</v>
      </c>
      <c r="G10" s="9">
        <v>-295935</v>
      </c>
      <c r="H10" s="9">
        <v>-406040</v>
      </c>
      <c r="I10" s="9">
        <v>-434757</v>
      </c>
      <c r="J10" s="9">
        <v>-403615</v>
      </c>
      <c r="K10" s="9">
        <v>-363680</v>
      </c>
      <c r="L10" s="9">
        <v>-347279</v>
      </c>
      <c r="M10" s="9">
        <v>-188057</v>
      </c>
    </row>
    <row r="11" spans="2:14" x14ac:dyDescent="0.25">
      <c r="B11" s="10" t="s">
        <v>5</v>
      </c>
      <c r="G11" s="11">
        <f>G9+G10</f>
        <v>208244</v>
      </c>
      <c r="H11" s="11">
        <f t="shared" ref="H11:M11" si="1">H9+H10</f>
        <v>286807</v>
      </c>
      <c r="I11" s="11">
        <f t="shared" si="1"/>
        <v>253658</v>
      </c>
      <c r="J11" s="11">
        <f t="shared" si="1"/>
        <v>256089</v>
      </c>
      <c r="K11" s="11">
        <f t="shared" si="1"/>
        <v>238544</v>
      </c>
      <c r="L11" s="11">
        <f t="shared" si="1"/>
        <v>266235</v>
      </c>
      <c r="M11" s="11">
        <f t="shared" si="1"/>
        <v>131280</v>
      </c>
    </row>
    <row r="13" spans="2:14" x14ac:dyDescent="0.25">
      <c r="B13" s="12" t="s">
        <v>6</v>
      </c>
      <c r="G13" s="8">
        <v>-70875</v>
      </c>
      <c r="H13" s="8">
        <v>-116793</v>
      </c>
      <c r="I13" s="8">
        <v>-150728</v>
      </c>
      <c r="J13" s="8">
        <v>-120244</v>
      </c>
      <c r="K13" s="8">
        <v>-132149</v>
      </c>
      <c r="L13" s="8">
        <v>-146132</v>
      </c>
      <c r="M13" s="8">
        <v>-75829</v>
      </c>
    </row>
    <row r="14" spans="2:14" x14ac:dyDescent="0.25">
      <c r="B14" s="12" t="s">
        <v>7</v>
      </c>
      <c r="G14" s="8">
        <v>-23483</v>
      </c>
      <c r="H14" s="8">
        <v>-28280</v>
      </c>
      <c r="I14" s="8">
        <v>-29083</v>
      </c>
      <c r="J14" s="8">
        <v>-23844</v>
      </c>
      <c r="K14" s="8">
        <v>-18710</v>
      </c>
      <c r="L14" s="8">
        <v>-18831</v>
      </c>
      <c r="M14" s="8">
        <v>-7736</v>
      </c>
    </row>
    <row r="15" spans="2:14" x14ac:dyDescent="0.25">
      <c r="B15" s="12" t="s">
        <v>8</v>
      </c>
      <c r="G15" s="8">
        <v>-11082</v>
      </c>
      <c r="H15" s="8">
        <v>-13999</v>
      </c>
      <c r="I15" s="8">
        <v>-14683</v>
      </c>
      <c r="J15" s="8">
        <v>-14557</v>
      </c>
      <c r="K15" s="8">
        <v>-13884</v>
      </c>
      <c r="L15" s="8">
        <v>-13778</v>
      </c>
      <c r="M15" s="8">
        <v>-6844</v>
      </c>
    </row>
    <row r="16" spans="2:14" x14ac:dyDescent="0.25">
      <c r="B16" s="12" t="s">
        <v>16</v>
      </c>
      <c r="G16" s="8">
        <v>0</v>
      </c>
      <c r="H16" s="8">
        <v>0</v>
      </c>
      <c r="I16" s="8">
        <v>-2395</v>
      </c>
      <c r="J16" s="8">
        <v>0</v>
      </c>
      <c r="K16" s="8">
        <v>-7695</v>
      </c>
      <c r="L16" s="8">
        <v>0</v>
      </c>
      <c r="M16" s="8">
        <v>0</v>
      </c>
    </row>
    <row r="17" spans="2:13" x14ac:dyDescent="0.25">
      <c r="B17" s="12" t="s">
        <v>17</v>
      </c>
      <c r="G17" s="8">
        <v>0</v>
      </c>
      <c r="H17" s="8">
        <v>0</v>
      </c>
      <c r="I17" s="8">
        <v>0</v>
      </c>
      <c r="J17" s="8">
        <v>0</v>
      </c>
      <c r="K17" s="8">
        <v>-40906</v>
      </c>
      <c r="L17" s="8">
        <v>0</v>
      </c>
      <c r="M17" s="8">
        <v>0</v>
      </c>
    </row>
    <row r="18" spans="2:13" x14ac:dyDescent="0.25">
      <c r="B18" s="12" t="s">
        <v>9</v>
      </c>
      <c r="G18" s="8">
        <v>-9743</v>
      </c>
      <c r="H18" s="8">
        <v>-23668</v>
      </c>
      <c r="I18" s="8">
        <v>-4513</v>
      </c>
      <c r="J18" s="8">
        <v>-2641</v>
      </c>
      <c r="K18" s="8">
        <v>-1566</v>
      </c>
      <c r="L18" s="8">
        <v>-2903</v>
      </c>
      <c r="M18" s="8">
        <v>-1715</v>
      </c>
    </row>
    <row r="19" spans="2:13" x14ac:dyDescent="0.25">
      <c r="B19" s="12" t="s">
        <v>18</v>
      </c>
      <c r="G19" s="8">
        <v>0</v>
      </c>
      <c r="H19" s="8">
        <v>0</v>
      </c>
      <c r="I19" s="8">
        <v>0</v>
      </c>
      <c r="J19" s="8">
        <v>0</v>
      </c>
      <c r="K19" s="8">
        <v>-9234</v>
      </c>
      <c r="L19" s="8">
        <v>0</v>
      </c>
      <c r="M19" s="8">
        <v>-28224</v>
      </c>
    </row>
    <row r="20" spans="2:13" x14ac:dyDescent="0.25">
      <c r="B20" s="12" t="s">
        <v>10</v>
      </c>
      <c r="G20" s="8">
        <v>-6089</v>
      </c>
      <c r="H20" s="8">
        <v>-25789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 spans="2:13" x14ac:dyDescent="0.25">
      <c r="B21" s="12" t="s">
        <v>11</v>
      </c>
      <c r="G21" s="8">
        <v>-1517</v>
      </c>
      <c r="H21" s="8">
        <v>-755</v>
      </c>
      <c r="I21" s="8">
        <v>-1514</v>
      </c>
      <c r="J21" s="8">
        <v>-765</v>
      </c>
      <c r="K21" s="8">
        <v>268</v>
      </c>
      <c r="L21" s="8">
        <v>-2110</v>
      </c>
      <c r="M21" s="8">
        <v>9341</v>
      </c>
    </row>
    <row r="22" spans="2:13" ht="16.5" thickBot="1" x14ac:dyDescent="0.3">
      <c r="B22" s="1" t="s">
        <v>12</v>
      </c>
      <c r="G22" s="13">
        <f t="shared" ref="G22:M22" si="2">SUM(G13:G21)</f>
        <v>-122789</v>
      </c>
      <c r="H22" s="13">
        <f t="shared" si="2"/>
        <v>-209284</v>
      </c>
      <c r="I22" s="13">
        <f t="shared" si="2"/>
        <v>-202916</v>
      </c>
      <c r="J22" s="13">
        <f t="shared" si="2"/>
        <v>-162051</v>
      </c>
      <c r="K22" s="13">
        <f t="shared" si="2"/>
        <v>-223876</v>
      </c>
      <c r="L22" s="13">
        <f t="shared" si="2"/>
        <v>-183754</v>
      </c>
      <c r="M22" s="13">
        <f t="shared" si="2"/>
        <v>-111007</v>
      </c>
    </row>
    <row r="23" spans="2:13" x14ac:dyDescent="0.25">
      <c r="B23" s="10" t="s">
        <v>15</v>
      </c>
      <c r="G23" s="11">
        <f t="shared" ref="G23:M23" si="3">G11+G22</f>
        <v>85455</v>
      </c>
      <c r="H23" s="11">
        <f t="shared" si="3"/>
        <v>77523</v>
      </c>
      <c r="I23" s="11">
        <f t="shared" si="3"/>
        <v>50742</v>
      </c>
      <c r="J23" s="11">
        <f t="shared" si="3"/>
        <v>94038</v>
      </c>
      <c r="K23" s="11">
        <f t="shared" si="3"/>
        <v>14668</v>
      </c>
      <c r="L23" s="11">
        <f t="shared" si="3"/>
        <v>82481</v>
      </c>
      <c r="M23" s="11">
        <f t="shared" si="3"/>
        <v>20273</v>
      </c>
    </row>
    <row r="25" spans="2:13" ht="16.5" thickBot="1" x14ac:dyDescent="0.3">
      <c r="B25" s="1" t="s">
        <v>25</v>
      </c>
      <c r="G25" s="14">
        <f>G46+G47</f>
        <v>18968</v>
      </c>
      <c r="H25" s="14">
        <f t="shared" ref="H25:M25" si="4">H46+H47</f>
        <v>25526</v>
      </c>
      <c r="I25" s="14">
        <f t="shared" si="4"/>
        <v>24790</v>
      </c>
      <c r="J25" s="14">
        <f t="shared" si="4"/>
        <v>24865</v>
      </c>
      <c r="K25" s="14">
        <f t="shared" si="4"/>
        <v>24435</v>
      </c>
      <c r="L25" s="14">
        <f t="shared" si="4"/>
        <v>23482</v>
      </c>
      <c r="M25" s="14">
        <f t="shared" si="4"/>
        <v>12018</v>
      </c>
    </row>
    <row r="26" spans="2:13" x14ac:dyDescent="0.25">
      <c r="B26" s="10" t="s">
        <v>26</v>
      </c>
      <c r="G26" s="11">
        <f>G23+G25</f>
        <v>104423</v>
      </c>
      <c r="H26" s="11">
        <f t="shared" ref="H26:M26" si="5">H23+H25</f>
        <v>103049</v>
      </c>
      <c r="I26" s="11">
        <f t="shared" si="5"/>
        <v>75532</v>
      </c>
      <c r="J26" s="11">
        <f t="shared" si="5"/>
        <v>118903</v>
      </c>
      <c r="K26" s="11">
        <f t="shared" si="5"/>
        <v>39103</v>
      </c>
      <c r="L26" s="11">
        <f t="shared" si="5"/>
        <v>105963</v>
      </c>
      <c r="M26" s="11">
        <f t="shared" si="5"/>
        <v>32291</v>
      </c>
    </row>
    <row r="27" spans="2:13" x14ac:dyDescent="0.25">
      <c r="B27" s="10"/>
      <c r="G27" s="11"/>
      <c r="H27" s="11"/>
      <c r="I27" s="11"/>
      <c r="J27" s="11"/>
      <c r="K27" s="11"/>
      <c r="L27" s="11"/>
      <c r="M27" s="11"/>
    </row>
    <row r="28" spans="2:13" ht="16.5" thickBot="1" x14ac:dyDescent="0.3">
      <c r="B28" s="1" t="s">
        <v>166</v>
      </c>
      <c r="G28" s="14">
        <f>G47</f>
        <v>11082</v>
      </c>
      <c r="H28" s="14">
        <f t="shared" ref="H28:M28" si="6">H47</f>
        <v>13999</v>
      </c>
      <c r="I28" s="14">
        <f t="shared" si="6"/>
        <v>14683</v>
      </c>
      <c r="J28" s="14">
        <f t="shared" si="6"/>
        <v>14557</v>
      </c>
      <c r="K28" s="14">
        <f t="shared" si="6"/>
        <v>13884</v>
      </c>
      <c r="L28" s="14">
        <f t="shared" si="6"/>
        <v>13778</v>
      </c>
      <c r="M28" s="14">
        <f t="shared" si="6"/>
        <v>6844</v>
      </c>
    </row>
    <row r="29" spans="2:13" x14ac:dyDescent="0.25">
      <c r="B29" s="10" t="s">
        <v>165</v>
      </c>
      <c r="G29" s="11">
        <f>G23+G28</f>
        <v>96537</v>
      </c>
      <c r="H29" s="11">
        <f t="shared" ref="H29:M29" si="7">H23+H28</f>
        <v>91522</v>
      </c>
      <c r="I29" s="11">
        <f t="shared" si="7"/>
        <v>65425</v>
      </c>
      <c r="J29" s="11">
        <f t="shared" si="7"/>
        <v>108595</v>
      </c>
      <c r="K29" s="11">
        <f t="shared" si="7"/>
        <v>28552</v>
      </c>
      <c r="L29" s="11">
        <f t="shared" si="7"/>
        <v>96259</v>
      </c>
      <c r="M29" s="11">
        <f t="shared" si="7"/>
        <v>27117</v>
      </c>
    </row>
    <row r="31" spans="2:13" x14ac:dyDescent="0.25">
      <c r="B31" s="1" t="s">
        <v>13</v>
      </c>
      <c r="G31" s="8">
        <v>0</v>
      </c>
      <c r="H31" s="8">
        <v>-32580</v>
      </c>
      <c r="I31" s="8">
        <v>57021</v>
      </c>
      <c r="J31" s="8">
        <v>-4111</v>
      </c>
      <c r="K31" s="8">
        <v>7570</v>
      </c>
      <c r="L31" s="8">
        <v>-1211</v>
      </c>
      <c r="M31" s="8">
        <v>1579</v>
      </c>
    </row>
    <row r="32" spans="2:13" x14ac:dyDescent="0.25">
      <c r="B32" s="1" t="s">
        <v>19</v>
      </c>
      <c r="G32" s="8">
        <v>0</v>
      </c>
      <c r="H32" s="8">
        <v>-8875</v>
      </c>
      <c r="I32" s="8">
        <v>10731</v>
      </c>
      <c r="J32" s="8">
        <v>-2303</v>
      </c>
      <c r="K32" s="8">
        <v>2333</v>
      </c>
      <c r="L32" s="8">
        <v>-897</v>
      </c>
      <c r="M32" s="8">
        <v>1772</v>
      </c>
    </row>
    <row r="33" spans="2:14" x14ac:dyDescent="0.25">
      <c r="B33" s="1" t="s">
        <v>22</v>
      </c>
      <c r="G33" s="8">
        <v>0</v>
      </c>
      <c r="H33" s="8">
        <v>-13650</v>
      </c>
      <c r="I33" s="8">
        <v>0</v>
      </c>
      <c r="J33" s="8">
        <v>701</v>
      </c>
      <c r="K33" s="8">
        <v>-141</v>
      </c>
      <c r="L33" s="8">
        <v>93</v>
      </c>
      <c r="M33" s="8"/>
    </row>
    <row r="34" spans="2:14" ht="16.5" thickBot="1" x14ac:dyDescent="0.3">
      <c r="B34" s="1" t="s">
        <v>20</v>
      </c>
      <c r="G34" s="9">
        <v>-43772</v>
      </c>
      <c r="H34" s="9">
        <v>-39128</v>
      </c>
      <c r="I34" s="9">
        <v>-40227</v>
      </c>
      <c r="J34" s="9">
        <v>-60746</v>
      </c>
      <c r="K34" s="9">
        <v>-50690</v>
      </c>
      <c r="L34" s="9">
        <v>-51833</v>
      </c>
      <c r="M34" s="9">
        <v>-18119</v>
      </c>
    </row>
    <row r="35" spans="2:14" x14ac:dyDescent="0.25">
      <c r="B35" s="10" t="s">
        <v>21</v>
      </c>
      <c r="G35" s="11">
        <f t="shared" ref="G35:M35" si="8">G23+SUM(G31:G34)</f>
        <v>41683</v>
      </c>
      <c r="H35" s="11">
        <f t="shared" si="8"/>
        <v>-16710</v>
      </c>
      <c r="I35" s="11">
        <f t="shared" si="8"/>
        <v>78267</v>
      </c>
      <c r="J35" s="11">
        <f t="shared" si="8"/>
        <v>27579</v>
      </c>
      <c r="K35" s="11">
        <f t="shared" si="8"/>
        <v>-26260</v>
      </c>
      <c r="L35" s="11">
        <f t="shared" si="8"/>
        <v>28633</v>
      </c>
      <c r="M35" s="11">
        <f t="shared" si="8"/>
        <v>5505</v>
      </c>
    </row>
    <row r="37" spans="2:14" ht="16.5" thickBot="1" x14ac:dyDescent="0.3">
      <c r="B37" s="1" t="s">
        <v>23</v>
      </c>
      <c r="G37" s="9">
        <v>-8826</v>
      </c>
      <c r="H37" s="9">
        <v>-10429</v>
      </c>
      <c r="I37" s="9">
        <v>-4493</v>
      </c>
      <c r="J37" s="9">
        <v>-8399</v>
      </c>
      <c r="K37" s="9">
        <v>3025</v>
      </c>
      <c r="L37" s="9">
        <v>-9458</v>
      </c>
      <c r="M37" s="9">
        <v>-679</v>
      </c>
    </row>
    <row r="38" spans="2:14" x14ac:dyDescent="0.25">
      <c r="B38" s="10" t="s">
        <v>24</v>
      </c>
      <c r="G38" s="11">
        <f>G35+G37</f>
        <v>32857</v>
      </c>
      <c r="H38" s="11">
        <f t="shared" ref="H38:M38" si="9">H35+H37</f>
        <v>-27139</v>
      </c>
      <c r="I38" s="11">
        <f t="shared" si="9"/>
        <v>73774</v>
      </c>
      <c r="J38" s="11">
        <f t="shared" si="9"/>
        <v>19180</v>
      </c>
      <c r="K38" s="11">
        <f t="shared" si="9"/>
        <v>-23235</v>
      </c>
      <c r="L38" s="11">
        <f t="shared" si="9"/>
        <v>19175</v>
      </c>
      <c r="M38" s="11">
        <f t="shared" si="9"/>
        <v>4826</v>
      </c>
    </row>
    <row r="41" spans="2:14" ht="26.25" x14ac:dyDescent="0.4">
      <c r="B41" s="2" t="s">
        <v>27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3" spans="2:14" ht="16.5" thickBot="1" x14ac:dyDescent="0.3">
      <c r="B43" s="5" t="s">
        <v>1</v>
      </c>
      <c r="G43" s="6">
        <v>2020</v>
      </c>
      <c r="H43" s="6">
        <f t="shared" ref="H43" si="10">G43+1</f>
        <v>2021</v>
      </c>
      <c r="I43" s="6">
        <f t="shared" ref="I43" si="11">H43+1</f>
        <v>2022</v>
      </c>
      <c r="J43" s="6">
        <f t="shared" ref="J43" si="12">I43+1</f>
        <v>2023</v>
      </c>
      <c r="K43" s="6">
        <f t="shared" ref="K43" si="13">J43+1</f>
        <v>2024</v>
      </c>
      <c r="L43" s="6">
        <f t="shared" ref="L43" si="14">K43+1</f>
        <v>2025</v>
      </c>
      <c r="M43" s="7" t="s">
        <v>14</v>
      </c>
    </row>
    <row r="45" spans="2:14" x14ac:dyDescent="0.25">
      <c r="B45" s="10" t="s">
        <v>28</v>
      </c>
      <c r="G45" s="11">
        <f>G38</f>
        <v>32857</v>
      </c>
      <c r="H45" s="11">
        <f t="shared" ref="H45:M45" si="15">H38</f>
        <v>-27139</v>
      </c>
      <c r="I45" s="11">
        <f t="shared" si="15"/>
        <v>73774</v>
      </c>
      <c r="J45" s="11">
        <f t="shared" si="15"/>
        <v>19180</v>
      </c>
      <c r="K45" s="11">
        <f t="shared" si="15"/>
        <v>-23235</v>
      </c>
      <c r="L45" s="11">
        <f t="shared" si="15"/>
        <v>19175</v>
      </c>
      <c r="M45" s="11">
        <f t="shared" si="15"/>
        <v>4826</v>
      </c>
    </row>
    <row r="46" spans="2:14" x14ac:dyDescent="0.25">
      <c r="B46" s="15" t="s">
        <v>29</v>
      </c>
      <c r="G46" s="8">
        <v>7886</v>
      </c>
      <c r="H46" s="8">
        <v>11527</v>
      </c>
      <c r="I46" s="8">
        <v>10107</v>
      </c>
      <c r="J46" s="8">
        <v>10308</v>
      </c>
      <c r="K46" s="8">
        <v>10551</v>
      </c>
      <c r="L46" s="8">
        <v>9704</v>
      </c>
      <c r="M46" s="8">
        <v>5174</v>
      </c>
    </row>
    <row r="47" spans="2:14" x14ac:dyDescent="0.25">
      <c r="B47" s="15" t="s">
        <v>30</v>
      </c>
      <c r="G47" s="8">
        <v>11082</v>
      </c>
      <c r="H47" s="8">
        <v>13999</v>
      </c>
      <c r="I47" s="8">
        <v>14683</v>
      </c>
      <c r="J47" s="8">
        <v>14557</v>
      </c>
      <c r="K47" s="8">
        <v>13884</v>
      </c>
      <c r="L47" s="8">
        <v>13778</v>
      </c>
      <c r="M47" s="8">
        <v>6844</v>
      </c>
    </row>
    <row r="48" spans="2:14" x14ac:dyDescent="0.25">
      <c r="B48" s="15" t="s">
        <v>31</v>
      </c>
      <c r="G48" s="8">
        <v>15872</v>
      </c>
      <c r="H48" s="8">
        <v>67447</v>
      </c>
      <c r="I48" s="8">
        <v>-29945</v>
      </c>
      <c r="J48" s="8">
        <v>19206</v>
      </c>
      <c r="K48" s="8">
        <v>54810</v>
      </c>
      <c r="L48" s="8">
        <v>35148</v>
      </c>
      <c r="M48" s="8">
        <v>31303</v>
      </c>
    </row>
    <row r="50" spans="2:13" x14ac:dyDescent="0.25">
      <c r="B50" s="10" t="s">
        <v>32</v>
      </c>
    </row>
    <row r="51" spans="2:13" x14ac:dyDescent="0.25">
      <c r="B51" s="15" t="s">
        <v>33</v>
      </c>
      <c r="G51" s="8">
        <v>-11349</v>
      </c>
      <c r="H51" s="8">
        <v>464</v>
      </c>
      <c r="I51" s="8">
        <v>3777</v>
      </c>
      <c r="J51" s="8">
        <v>-2280</v>
      </c>
      <c r="K51" s="8">
        <v>10756</v>
      </c>
      <c r="L51" s="8">
        <v>-21409</v>
      </c>
      <c r="M51" s="8">
        <v>-2737</v>
      </c>
    </row>
    <row r="52" spans="2:13" x14ac:dyDescent="0.25">
      <c r="B52" s="15" t="s">
        <v>34</v>
      </c>
      <c r="G52" s="8">
        <v>22006</v>
      </c>
      <c r="H52" s="8">
        <v>-45073</v>
      </c>
      <c r="I52" s="8">
        <v>-58406</v>
      </c>
      <c r="J52" s="8">
        <v>38199</v>
      </c>
      <c r="K52" s="8">
        <v>-16557</v>
      </c>
      <c r="L52" s="8">
        <v>-17076</v>
      </c>
      <c r="M52" s="8">
        <v>13913</v>
      </c>
    </row>
    <row r="53" spans="2:13" x14ac:dyDescent="0.25">
      <c r="B53" s="15" t="s">
        <v>35</v>
      </c>
      <c r="G53" s="8">
        <v>1884</v>
      </c>
      <c r="H53" s="8">
        <v>-13408</v>
      </c>
      <c r="I53" s="8">
        <v>1142</v>
      </c>
      <c r="J53" s="8">
        <v>2555</v>
      </c>
      <c r="K53" s="8">
        <v>2979</v>
      </c>
      <c r="L53" s="8">
        <v>-6181</v>
      </c>
      <c r="M53" s="8">
        <v>-11969</v>
      </c>
    </row>
    <row r="54" spans="2:13" x14ac:dyDescent="0.25">
      <c r="B54" s="15" t="s">
        <v>36</v>
      </c>
      <c r="G54" s="8">
        <v>8399</v>
      </c>
      <c r="H54" s="8">
        <v>8727</v>
      </c>
      <c r="I54" s="8">
        <v>-740</v>
      </c>
      <c r="J54" s="8">
        <v>-1626</v>
      </c>
      <c r="K54" s="8">
        <v>1233</v>
      </c>
      <c r="L54" s="8">
        <v>12861</v>
      </c>
      <c r="M54" s="8">
        <v>-5988</v>
      </c>
    </row>
    <row r="55" spans="2:13" x14ac:dyDescent="0.25">
      <c r="B55" s="15" t="s">
        <v>37</v>
      </c>
      <c r="G55" s="8">
        <v>737</v>
      </c>
      <c r="H55" s="8">
        <v>-3229</v>
      </c>
      <c r="I55" s="8">
        <v>2635</v>
      </c>
      <c r="J55" s="8">
        <v>-5539</v>
      </c>
      <c r="K55" s="8">
        <v>-455</v>
      </c>
      <c r="L55" s="8">
        <v>115</v>
      </c>
      <c r="M55" s="8">
        <v>3288</v>
      </c>
    </row>
    <row r="56" spans="2:13" ht="16.5" thickBot="1" x14ac:dyDescent="0.3">
      <c r="B56" s="15" t="s">
        <v>38</v>
      </c>
      <c r="G56" s="9">
        <v>-961</v>
      </c>
      <c r="H56" s="9">
        <v>8238</v>
      </c>
      <c r="I56" s="9">
        <v>-4715</v>
      </c>
      <c r="J56" s="9">
        <v>-6468</v>
      </c>
      <c r="K56" s="9">
        <v>-7067</v>
      </c>
      <c r="L56" s="9">
        <v>105</v>
      </c>
      <c r="M56" s="9">
        <v>-400</v>
      </c>
    </row>
    <row r="57" spans="2:13" x14ac:dyDescent="0.25">
      <c r="B57" s="10" t="s">
        <v>39</v>
      </c>
      <c r="G57" s="11">
        <f>SUM(G51:G56)</f>
        <v>20716</v>
      </c>
      <c r="H57" s="11">
        <f t="shared" ref="H57:M57" si="16">SUM(H51:H56)</f>
        <v>-44281</v>
      </c>
      <c r="I57" s="11">
        <f t="shared" si="16"/>
        <v>-56307</v>
      </c>
      <c r="J57" s="11">
        <f t="shared" si="16"/>
        <v>24841</v>
      </c>
      <c r="K57" s="11">
        <f t="shared" si="16"/>
        <v>-9111</v>
      </c>
      <c r="L57" s="11">
        <f t="shared" si="16"/>
        <v>-31585</v>
      </c>
      <c r="M57" s="11">
        <f t="shared" si="16"/>
        <v>-3893</v>
      </c>
    </row>
    <row r="58" spans="2:13" x14ac:dyDescent="0.25">
      <c r="B58" s="10" t="s">
        <v>40</v>
      </c>
      <c r="G58" s="11">
        <f>SUM(G45:G48)+G57</f>
        <v>88413</v>
      </c>
      <c r="H58" s="11">
        <f t="shared" ref="H58:M58" si="17">SUM(H45:H48)+H57</f>
        <v>21553</v>
      </c>
      <c r="I58" s="11">
        <f t="shared" si="17"/>
        <v>12312</v>
      </c>
      <c r="J58" s="11">
        <f t="shared" si="17"/>
        <v>88092</v>
      </c>
      <c r="K58" s="11">
        <f t="shared" si="17"/>
        <v>46899</v>
      </c>
      <c r="L58" s="11">
        <f t="shared" si="17"/>
        <v>46220</v>
      </c>
      <c r="M58" s="11">
        <f t="shared" si="17"/>
        <v>44254</v>
      </c>
    </row>
    <row r="60" spans="2:13" ht="16.5" thickBot="1" x14ac:dyDescent="0.3">
      <c r="B60" s="15" t="s">
        <v>41</v>
      </c>
      <c r="G60" s="9">
        <v>-9433</v>
      </c>
      <c r="H60" s="9">
        <v>-15233</v>
      </c>
      <c r="I60" s="9">
        <v>-13590</v>
      </c>
      <c r="J60" s="9">
        <v>-5934</v>
      </c>
      <c r="K60" s="9">
        <v>-6804</v>
      </c>
      <c r="L60" s="9">
        <v>-12321</v>
      </c>
      <c r="M60" s="9">
        <v>-9640</v>
      </c>
    </row>
    <row r="61" spans="2:13" x14ac:dyDescent="0.25">
      <c r="B61" s="10" t="s">
        <v>42</v>
      </c>
      <c r="G61" s="11">
        <f>G58+G60</f>
        <v>78980</v>
      </c>
      <c r="H61" s="11">
        <f t="shared" ref="H61:M61" si="18">H58+H60</f>
        <v>6320</v>
      </c>
      <c r="I61" s="11">
        <f t="shared" si="18"/>
        <v>-1278</v>
      </c>
      <c r="J61" s="11">
        <f t="shared" si="18"/>
        <v>82158</v>
      </c>
      <c r="K61" s="11">
        <f t="shared" si="18"/>
        <v>40095</v>
      </c>
      <c r="L61" s="11">
        <f t="shared" si="18"/>
        <v>33899</v>
      </c>
      <c r="M61" s="11">
        <f t="shared" si="18"/>
        <v>34614</v>
      </c>
    </row>
    <row r="63" spans="2:13" x14ac:dyDescent="0.25">
      <c r="B63" s="15" t="s">
        <v>43</v>
      </c>
      <c r="G63" s="8">
        <v>-156883</v>
      </c>
      <c r="H63" s="8">
        <v>-119220</v>
      </c>
      <c r="I63" s="8">
        <v>-14301</v>
      </c>
      <c r="J63" s="8">
        <v>0</v>
      </c>
      <c r="K63" s="8">
        <v>0</v>
      </c>
      <c r="L63" s="8">
        <v>-20230</v>
      </c>
      <c r="M63" s="8">
        <v>-6346</v>
      </c>
    </row>
    <row r="64" spans="2:13" ht="16.5" thickBot="1" x14ac:dyDescent="0.3">
      <c r="B64" s="15" t="s">
        <v>44</v>
      </c>
      <c r="G64" s="9">
        <v>698</v>
      </c>
      <c r="H64" s="9">
        <v>364</v>
      </c>
      <c r="I64" s="9">
        <v>2854</v>
      </c>
      <c r="J64" s="9">
        <v>1481</v>
      </c>
      <c r="K64" s="9">
        <v>8825</v>
      </c>
      <c r="L64" s="9">
        <v>322</v>
      </c>
      <c r="M64" s="9">
        <v>9957</v>
      </c>
    </row>
    <row r="65" spans="2:14" x14ac:dyDescent="0.25">
      <c r="B65" s="10" t="s">
        <v>45</v>
      </c>
      <c r="G65" s="11">
        <f>G60+G63+G64</f>
        <v>-165618</v>
      </c>
      <c r="H65" s="11">
        <f t="shared" ref="H65:M65" si="19">H60+H63+H64</f>
        <v>-134089</v>
      </c>
      <c r="I65" s="11">
        <f t="shared" si="19"/>
        <v>-25037</v>
      </c>
      <c r="J65" s="11">
        <f t="shared" si="19"/>
        <v>-4453</v>
      </c>
      <c r="K65" s="11">
        <f t="shared" si="19"/>
        <v>2021</v>
      </c>
      <c r="L65" s="11">
        <f t="shared" si="19"/>
        <v>-32229</v>
      </c>
      <c r="M65" s="11">
        <f t="shared" si="19"/>
        <v>-6029</v>
      </c>
    </row>
    <row r="67" spans="2:14" x14ac:dyDescent="0.25">
      <c r="B67" s="15" t="s">
        <v>46</v>
      </c>
      <c r="G67" s="8">
        <v>170000</v>
      </c>
      <c r="H67" s="8">
        <v>655000</v>
      </c>
      <c r="I67" s="8">
        <v>37000</v>
      </c>
      <c r="J67" s="8">
        <v>0</v>
      </c>
      <c r="K67" s="8">
        <v>0</v>
      </c>
      <c r="L67" s="8">
        <v>10000</v>
      </c>
      <c r="M67" s="8">
        <v>0</v>
      </c>
    </row>
    <row r="68" spans="2:14" ht="16.5" thickBot="1" x14ac:dyDescent="0.3">
      <c r="B68" s="15" t="s">
        <v>47</v>
      </c>
      <c r="G68" s="9">
        <v>-24646</v>
      </c>
      <c r="H68" s="9">
        <v>-687529</v>
      </c>
      <c r="I68" s="9">
        <v>-33483</v>
      </c>
      <c r="J68" s="9">
        <v>-66038</v>
      </c>
      <c r="K68" s="9">
        <v>-32444</v>
      </c>
      <c r="L68" s="9">
        <v>-42108</v>
      </c>
      <c r="M68" s="9">
        <v>-1643</v>
      </c>
    </row>
    <row r="69" spans="2:14" x14ac:dyDescent="0.25">
      <c r="B69" s="16" t="s">
        <v>48</v>
      </c>
      <c r="G69" s="11">
        <f>SUM(G67:G68)</f>
        <v>145354</v>
      </c>
      <c r="H69" s="11">
        <f t="shared" ref="H69:M69" si="20">SUM(H67:H68)</f>
        <v>-32529</v>
      </c>
      <c r="I69" s="11">
        <f t="shared" si="20"/>
        <v>3517</v>
      </c>
      <c r="J69" s="11">
        <f t="shared" si="20"/>
        <v>-66038</v>
      </c>
      <c r="K69" s="11">
        <f t="shared" si="20"/>
        <v>-32444</v>
      </c>
      <c r="L69" s="11">
        <f t="shared" si="20"/>
        <v>-32108</v>
      </c>
      <c r="M69" s="11">
        <f t="shared" si="20"/>
        <v>-1643</v>
      </c>
    </row>
    <row r="70" spans="2:14" x14ac:dyDescent="0.25">
      <c r="B70" s="15" t="s">
        <v>49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-2000</v>
      </c>
    </row>
    <row r="71" spans="2:14" x14ac:dyDescent="0.25">
      <c r="B71" s="15" t="s">
        <v>50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</row>
    <row r="72" spans="2:14" ht="16.5" thickBot="1" x14ac:dyDescent="0.3">
      <c r="B72" s="15" t="s">
        <v>51</v>
      </c>
      <c r="G72" s="9">
        <v>-4810</v>
      </c>
      <c r="H72" s="9">
        <v>109686</v>
      </c>
      <c r="I72" s="9">
        <v>-667</v>
      </c>
      <c r="J72" s="9">
        <v>-2970</v>
      </c>
      <c r="K72" s="9">
        <v>-2161</v>
      </c>
      <c r="L72" s="9">
        <v>-504</v>
      </c>
      <c r="M72" s="9">
        <v>-2486</v>
      </c>
    </row>
    <row r="73" spans="2:14" x14ac:dyDescent="0.25">
      <c r="B73" s="10" t="s">
        <v>52</v>
      </c>
      <c r="G73" s="11">
        <f>SUM(G69:G72)</f>
        <v>140544</v>
      </c>
      <c r="H73" s="11">
        <f t="shared" ref="H73:M73" si="21">SUM(H69:H72)</f>
        <v>77157</v>
      </c>
      <c r="I73" s="11">
        <f t="shared" si="21"/>
        <v>2850</v>
      </c>
      <c r="J73" s="11">
        <f t="shared" si="21"/>
        <v>-69008</v>
      </c>
      <c r="K73" s="11">
        <f t="shared" si="21"/>
        <v>-34605</v>
      </c>
      <c r="L73" s="11">
        <f t="shared" si="21"/>
        <v>-32612</v>
      </c>
      <c r="M73" s="11">
        <f t="shared" si="21"/>
        <v>-6129</v>
      </c>
    </row>
    <row r="75" spans="2:14" x14ac:dyDescent="0.25">
      <c r="B75" s="1" t="s">
        <v>53</v>
      </c>
      <c r="G75" s="17">
        <f>G58+G65+G73</f>
        <v>63339</v>
      </c>
      <c r="H75" s="17">
        <f t="shared" ref="H75:M75" si="22">H58+H65+H73</f>
        <v>-35379</v>
      </c>
      <c r="I75" s="17">
        <f t="shared" si="22"/>
        <v>-9875</v>
      </c>
      <c r="J75" s="17">
        <f t="shared" si="22"/>
        <v>14631</v>
      </c>
      <c r="K75" s="17">
        <f t="shared" si="22"/>
        <v>14315</v>
      </c>
      <c r="L75" s="17">
        <f t="shared" si="22"/>
        <v>-18621</v>
      </c>
      <c r="M75" s="17">
        <f t="shared" si="22"/>
        <v>32096</v>
      </c>
    </row>
    <row r="76" spans="2:14" x14ac:dyDescent="0.25">
      <c r="B76" s="1" t="s">
        <v>54</v>
      </c>
      <c r="G76" s="11">
        <v>71674</v>
      </c>
      <c r="H76" s="11">
        <v>36325</v>
      </c>
      <c r="I76" s="11">
        <v>26150</v>
      </c>
      <c r="J76" s="11">
        <v>41081</v>
      </c>
      <c r="K76" s="11">
        <v>56087</v>
      </c>
      <c r="L76" s="11">
        <v>37231</v>
      </c>
      <c r="M76" s="11">
        <v>69020</v>
      </c>
    </row>
    <row r="79" spans="2:14" ht="26.25" x14ac:dyDescent="0.4">
      <c r="B79" s="2" t="s">
        <v>55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1" spans="2:13" ht="16.5" thickBot="1" x14ac:dyDescent="0.3">
      <c r="B81" s="5" t="s">
        <v>1</v>
      </c>
      <c r="G81" s="6">
        <v>2020</v>
      </c>
      <c r="H81" s="6">
        <f t="shared" ref="H81" si="23">G81+1</f>
        <v>2021</v>
      </c>
      <c r="I81" s="6">
        <f t="shared" ref="I81" si="24">H81+1</f>
        <v>2022</v>
      </c>
      <c r="J81" s="6">
        <f t="shared" ref="J81" si="25">I81+1</f>
        <v>2023</v>
      </c>
      <c r="K81" s="6">
        <f t="shared" ref="K81" si="26">J81+1</f>
        <v>2024</v>
      </c>
      <c r="L81" s="6">
        <f t="shared" ref="L81" si="27">K81+1</f>
        <v>2025</v>
      </c>
      <c r="M81" s="7" t="s">
        <v>14</v>
      </c>
    </row>
    <row r="83" spans="2:13" x14ac:dyDescent="0.25">
      <c r="B83" s="1" t="s">
        <v>56</v>
      </c>
      <c r="G83" s="8">
        <v>71674</v>
      </c>
      <c r="H83" s="8">
        <v>36325</v>
      </c>
      <c r="I83" s="8">
        <v>26150</v>
      </c>
      <c r="J83" s="8">
        <v>41081</v>
      </c>
      <c r="K83" s="8">
        <v>56087</v>
      </c>
      <c r="L83" s="8">
        <v>37231</v>
      </c>
      <c r="M83" s="8">
        <v>69020</v>
      </c>
    </row>
    <row r="84" spans="2:13" x14ac:dyDescent="0.25">
      <c r="B84" s="1" t="s">
        <v>33</v>
      </c>
      <c r="G84" s="8">
        <v>47341</v>
      </c>
      <c r="H84" s="8">
        <v>51390</v>
      </c>
      <c r="I84" s="8">
        <v>47083</v>
      </c>
      <c r="J84" s="8">
        <v>48360</v>
      </c>
      <c r="K84" s="8">
        <v>36123</v>
      </c>
      <c r="L84" s="8">
        <v>57895</v>
      </c>
      <c r="M84" s="8">
        <v>64158</v>
      </c>
    </row>
    <row r="85" spans="2:13" x14ac:dyDescent="0.25">
      <c r="B85" s="1" t="s">
        <v>34</v>
      </c>
      <c r="G85" s="8">
        <v>133928</v>
      </c>
      <c r="H85" s="8">
        <v>185040</v>
      </c>
      <c r="I85" s="8">
        <v>233573</v>
      </c>
      <c r="J85" s="8">
        <v>192260</v>
      </c>
      <c r="K85" s="8">
        <v>192523</v>
      </c>
      <c r="L85" s="8">
        <v>205661</v>
      </c>
      <c r="M85" s="8">
        <v>180202</v>
      </c>
    </row>
    <row r="86" spans="2:13" ht="16.5" thickBot="1" x14ac:dyDescent="0.3">
      <c r="B86" s="1" t="s">
        <v>57</v>
      </c>
      <c r="G86" s="9">
        <v>5037</v>
      </c>
      <c r="H86" s="9">
        <v>18962</v>
      </c>
      <c r="I86" s="9">
        <v>18157</v>
      </c>
      <c r="J86" s="9">
        <v>15665</v>
      </c>
      <c r="K86" s="9">
        <v>12614</v>
      </c>
      <c r="L86" s="9">
        <v>15374</v>
      </c>
      <c r="M86" s="9">
        <v>17231</v>
      </c>
    </row>
    <row r="87" spans="2:13" x14ac:dyDescent="0.25">
      <c r="B87" s="10" t="s">
        <v>58</v>
      </c>
      <c r="G87" s="11">
        <f>SUM(G83:G86)</f>
        <v>257980</v>
      </c>
      <c r="H87" s="11">
        <f t="shared" ref="H87:M87" si="28">SUM(H83:H86)</f>
        <v>291717</v>
      </c>
      <c r="I87" s="11">
        <f t="shared" si="28"/>
        <v>324963</v>
      </c>
      <c r="J87" s="11">
        <f t="shared" si="28"/>
        <v>297366</v>
      </c>
      <c r="K87" s="11">
        <f t="shared" si="28"/>
        <v>297347</v>
      </c>
      <c r="L87" s="11">
        <f t="shared" si="28"/>
        <v>316161</v>
      </c>
      <c r="M87" s="11">
        <f t="shared" si="28"/>
        <v>330611</v>
      </c>
    </row>
    <row r="88" spans="2:13" x14ac:dyDescent="0.25">
      <c r="B88" s="1" t="s">
        <v>59</v>
      </c>
      <c r="G88" s="8">
        <v>43729</v>
      </c>
      <c r="H88" s="8">
        <v>51495</v>
      </c>
      <c r="I88" s="8">
        <v>52181</v>
      </c>
      <c r="J88" s="8">
        <v>47206</v>
      </c>
      <c r="K88" s="8">
        <v>40983</v>
      </c>
      <c r="L88" s="8">
        <v>45127</v>
      </c>
      <c r="M88" s="8">
        <v>50174</v>
      </c>
    </row>
    <row r="89" spans="2:13" x14ac:dyDescent="0.25">
      <c r="B89" s="1" t="s">
        <v>60</v>
      </c>
      <c r="G89" s="8">
        <v>359099</v>
      </c>
      <c r="H89" s="8">
        <v>411383</v>
      </c>
      <c r="I89" s="8">
        <v>418121</v>
      </c>
      <c r="J89" s="8">
        <v>419056</v>
      </c>
      <c r="K89" s="8">
        <v>372340</v>
      </c>
      <c r="L89" s="8">
        <v>372340</v>
      </c>
      <c r="M89" s="8">
        <v>370958</v>
      </c>
    </row>
    <row r="90" spans="2:13" x14ac:dyDescent="0.25">
      <c r="B90" s="1" t="s">
        <v>61</v>
      </c>
      <c r="G90" s="8">
        <v>404522</v>
      </c>
      <c r="H90" s="8">
        <v>438461</v>
      </c>
      <c r="I90" s="8">
        <v>424855</v>
      </c>
      <c r="J90" s="8">
        <v>410465</v>
      </c>
      <c r="K90" s="8">
        <v>386676</v>
      </c>
      <c r="L90" s="8">
        <v>396910</v>
      </c>
      <c r="M90" s="8">
        <v>369753</v>
      </c>
    </row>
    <row r="91" spans="2:13" ht="16.5" thickBot="1" x14ac:dyDescent="0.3">
      <c r="B91" s="1" t="s">
        <v>62</v>
      </c>
      <c r="G91" s="9">
        <v>0</v>
      </c>
      <c r="H91" s="9">
        <v>0</v>
      </c>
      <c r="I91" s="9">
        <v>29522</v>
      </c>
      <c r="J91" s="9">
        <v>29250</v>
      </c>
      <c r="K91" s="9">
        <v>35974</v>
      </c>
      <c r="L91" s="9">
        <v>33415</v>
      </c>
      <c r="M91" s="9">
        <v>40872</v>
      </c>
    </row>
    <row r="92" spans="2:13" x14ac:dyDescent="0.25">
      <c r="B92" s="10" t="s">
        <v>63</v>
      </c>
      <c r="G92" s="11">
        <f>SUM(G88:G91)+G87</f>
        <v>1065330</v>
      </c>
      <c r="H92" s="11">
        <f t="shared" ref="H92:M92" si="29">SUM(H88:H91)+H87</f>
        <v>1193056</v>
      </c>
      <c r="I92" s="11">
        <f t="shared" si="29"/>
        <v>1249642</v>
      </c>
      <c r="J92" s="11">
        <f t="shared" si="29"/>
        <v>1203343</v>
      </c>
      <c r="K92" s="11">
        <f t="shared" si="29"/>
        <v>1133320</v>
      </c>
      <c r="L92" s="11">
        <f t="shared" si="29"/>
        <v>1163953</v>
      </c>
      <c r="M92" s="11">
        <f t="shared" si="29"/>
        <v>1162368</v>
      </c>
    </row>
    <row r="94" spans="2:13" x14ac:dyDescent="0.25">
      <c r="B94" s="1" t="s">
        <v>36</v>
      </c>
      <c r="G94" s="8">
        <v>34601</v>
      </c>
      <c r="H94" s="8">
        <v>45708</v>
      </c>
      <c r="I94" s="8">
        <v>44948</v>
      </c>
      <c r="J94" s="8">
        <v>43692</v>
      </c>
      <c r="K94" s="8">
        <v>44781</v>
      </c>
      <c r="L94" s="8">
        <v>60121</v>
      </c>
      <c r="M94" s="8">
        <v>55972</v>
      </c>
    </row>
    <row r="95" spans="2:13" x14ac:dyDescent="0.25">
      <c r="B95" s="1" t="s">
        <v>64</v>
      </c>
      <c r="G95" s="8">
        <v>35292</v>
      </c>
      <c r="H95" s="8">
        <v>34853</v>
      </c>
      <c r="I95" s="8">
        <v>43317</v>
      </c>
      <c r="J95" s="8">
        <v>42129</v>
      </c>
      <c r="K95" s="8">
        <v>43190</v>
      </c>
      <c r="L95" s="8">
        <v>48316</v>
      </c>
      <c r="M95" s="8">
        <v>40553</v>
      </c>
    </row>
    <row r="96" spans="2:13" x14ac:dyDescent="0.25">
      <c r="B96" s="1" t="s">
        <v>37</v>
      </c>
      <c r="G96" s="8">
        <v>6588</v>
      </c>
      <c r="H96" s="8">
        <v>3359</v>
      </c>
      <c r="I96" s="8">
        <v>5994</v>
      </c>
      <c r="J96" s="8">
        <v>455</v>
      </c>
      <c r="K96" s="8" t="s">
        <v>72</v>
      </c>
      <c r="L96" s="8">
        <v>115</v>
      </c>
      <c r="M96" s="8">
        <v>3401</v>
      </c>
    </row>
    <row r="97" spans="2:13" ht="16.5" thickBot="1" x14ac:dyDescent="0.3">
      <c r="B97" s="1" t="s">
        <v>65</v>
      </c>
      <c r="G97" s="9">
        <v>5528</v>
      </c>
      <c r="H97" s="9">
        <v>7875</v>
      </c>
      <c r="I97" s="9">
        <v>7000</v>
      </c>
      <c r="J97" s="9">
        <v>7461</v>
      </c>
      <c r="K97" s="9">
        <v>7201</v>
      </c>
      <c r="L97" s="9">
        <v>6571</v>
      </c>
      <c r="M97" s="9">
        <v>8207</v>
      </c>
    </row>
    <row r="98" spans="2:13" x14ac:dyDescent="0.25">
      <c r="B98" s="10" t="s">
        <v>66</v>
      </c>
      <c r="G98" s="11">
        <f>SUM(G94:G97)</f>
        <v>82009</v>
      </c>
      <c r="H98" s="11">
        <f t="shared" ref="H98:M98" si="30">SUM(H94:H97)</f>
        <v>91795</v>
      </c>
      <c r="I98" s="11">
        <f t="shared" si="30"/>
        <v>101259</v>
      </c>
      <c r="J98" s="11">
        <f t="shared" si="30"/>
        <v>93737</v>
      </c>
      <c r="K98" s="11">
        <f t="shared" si="30"/>
        <v>95172</v>
      </c>
      <c r="L98" s="11">
        <f t="shared" si="30"/>
        <v>115123</v>
      </c>
      <c r="M98" s="11">
        <f t="shared" si="30"/>
        <v>108133</v>
      </c>
    </row>
    <row r="99" spans="2:13" x14ac:dyDescent="0.25">
      <c r="B99" s="1" t="s">
        <v>67</v>
      </c>
      <c r="G99" s="8">
        <v>669458</v>
      </c>
      <c r="H99" s="8">
        <v>637673</v>
      </c>
      <c r="I99" s="8">
        <v>643563</v>
      </c>
      <c r="J99" s="8">
        <v>576710</v>
      </c>
      <c r="K99" s="8">
        <v>545385</v>
      </c>
      <c r="L99" s="8">
        <v>516078</v>
      </c>
      <c r="M99" s="8">
        <v>518606</v>
      </c>
    </row>
    <row r="100" spans="2:13" x14ac:dyDescent="0.25">
      <c r="B100" s="1" t="s">
        <v>68</v>
      </c>
      <c r="G100" s="8">
        <v>71336</v>
      </c>
      <c r="H100" s="8">
        <v>70045</v>
      </c>
      <c r="I100" s="8">
        <v>58390</v>
      </c>
      <c r="J100" s="8">
        <v>53542</v>
      </c>
      <c r="K100" s="8">
        <v>37391</v>
      </c>
      <c r="L100" s="8">
        <v>46540</v>
      </c>
      <c r="M100" s="8">
        <v>47362</v>
      </c>
    </row>
    <row r="101" spans="2:13" ht="16.5" thickBot="1" x14ac:dyDescent="0.3">
      <c r="B101" s="1" t="s">
        <v>69</v>
      </c>
      <c r="G101" s="9">
        <v>2146</v>
      </c>
      <c r="H101" s="9">
        <v>89056</v>
      </c>
      <c r="I101" s="9">
        <v>30440</v>
      </c>
      <c r="J101" s="9">
        <v>38203</v>
      </c>
      <c r="K101" s="9">
        <v>34220</v>
      </c>
      <c r="L101" s="9">
        <v>37287</v>
      </c>
      <c r="M101" s="9">
        <v>38529</v>
      </c>
    </row>
    <row r="102" spans="2:13" x14ac:dyDescent="0.25">
      <c r="B102" s="10" t="s">
        <v>70</v>
      </c>
      <c r="G102" s="11">
        <f>SUM(G99:G101)+G98</f>
        <v>824949</v>
      </c>
      <c r="H102" s="11">
        <f t="shared" ref="H102:M102" si="31">SUM(H99:H101)+H98</f>
        <v>888569</v>
      </c>
      <c r="I102" s="11">
        <f t="shared" si="31"/>
        <v>833652</v>
      </c>
      <c r="J102" s="11">
        <f t="shared" si="31"/>
        <v>762192</v>
      </c>
      <c r="K102" s="11">
        <f t="shared" si="31"/>
        <v>712168</v>
      </c>
      <c r="L102" s="11">
        <f t="shared" si="31"/>
        <v>715028</v>
      </c>
      <c r="M102" s="11">
        <f t="shared" si="31"/>
        <v>712630</v>
      </c>
    </row>
    <row r="103" spans="2:13" x14ac:dyDescent="0.25">
      <c r="B103" s="10" t="s">
        <v>71</v>
      </c>
      <c r="G103" s="11">
        <v>240381</v>
      </c>
      <c r="H103" s="11">
        <v>304487</v>
      </c>
      <c r="I103" s="11">
        <v>415990</v>
      </c>
      <c r="J103" s="11">
        <v>441151</v>
      </c>
      <c r="K103" s="11">
        <v>421152</v>
      </c>
      <c r="L103" s="11">
        <v>448925</v>
      </c>
      <c r="M103" s="11">
        <v>449738</v>
      </c>
    </row>
    <row r="104" spans="2:13" x14ac:dyDescent="0.25">
      <c r="B104" s="10" t="s">
        <v>73</v>
      </c>
      <c r="G104" s="11">
        <f>G102+G103</f>
        <v>1065330</v>
      </c>
      <c r="H104" s="11">
        <f t="shared" ref="H104:M104" si="32">H102+H103</f>
        <v>1193056</v>
      </c>
      <c r="I104" s="11">
        <f t="shared" si="32"/>
        <v>1249642</v>
      </c>
      <c r="J104" s="11">
        <f t="shared" si="32"/>
        <v>1203343</v>
      </c>
      <c r="K104" s="11">
        <f t="shared" si="32"/>
        <v>1133320</v>
      </c>
      <c r="L104" s="11">
        <f t="shared" si="32"/>
        <v>1163953</v>
      </c>
      <c r="M104" s="11">
        <f t="shared" si="32"/>
        <v>1162368</v>
      </c>
    </row>
    <row r="107" spans="2:13" x14ac:dyDescent="0.25">
      <c r="B107" s="18"/>
      <c r="C107" s="19"/>
      <c r="D107" s="19"/>
      <c r="E107" s="19"/>
      <c r="F107" s="19"/>
      <c r="G107" s="19"/>
      <c r="H107" s="19"/>
      <c r="I107" s="19"/>
    </row>
    <row r="108" spans="2:13" x14ac:dyDescent="0.25">
      <c r="B108" s="20"/>
      <c r="C108" s="21"/>
      <c r="D108" s="21"/>
      <c r="E108" s="21"/>
      <c r="F108" s="21"/>
      <c r="G108" s="21"/>
      <c r="H108" s="21"/>
      <c r="I108" s="21"/>
    </row>
    <row r="109" spans="2:13" x14ac:dyDescent="0.25">
      <c r="B109" s="22"/>
      <c r="C109" s="23"/>
      <c r="D109" s="23"/>
      <c r="E109" s="23"/>
      <c r="F109" s="23"/>
      <c r="G109" s="23"/>
      <c r="H109" s="23"/>
      <c r="I109" s="23"/>
    </row>
    <row r="110" spans="2:13" x14ac:dyDescent="0.25">
      <c r="B110" s="22"/>
      <c r="C110" s="23"/>
      <c r="D110" s="23"/>
      <c r="E110" s="23"/>
      <c r="F110" s="23"/>
      <c r="G110" s="23"/>
      <c r="H110" s="23"/>
      <c r="I110" s="23"/>
    </row>
    <row r="111" spans="2:13" x14ac:dyDescent="0.25">
      <c r="B111" s="22"/>
      <c r="C111" s="23"/>
      <c r="D111" s="23"/>
      <c r="E111" s="23"/>
      <c r="F111" s="23"/>
      <c r="G111" s="23"/>
      <c r="H111" s="23"/>
      <c r="I111" s="23"/>
    </row>
    <row r="112" spans="2:13" x14ac:dyDescent="0.25">
      <c r="B112" s="22"/>
      <c r="C112" s="23"/>
      <c r="D112" s="23"/>
      <c r="E112" s="23"/>
      <c r="F112" s="23"/>
      <c r="G112" s="23"/>
      <c r="H112" s="23"/>
      <c r="I112" s="23"/>
    </row>
    <row r="113" spans="2:9" x14ac:dyDescent="0.25">
      <c r="B113" s="20"/>
      <c r="C113" s="24"/>
      <c r="D113" s="24"/>
      <c r="E113" s="24"/>
      <c r="F113" s="24"/>
      <c r="G113" s="24"/>
      <c r="H113" s="24"/>
      <c r="I113" s="24"/>
    </row>
    <row r="114" spans="2:9" x14ac:dyDescent="0.25">
      <c r="B114" s="22"/>
      <c r="C114" s="21"/>
      <c r="D114" s="21"/>
      <c r="E114" s="21"/>
      <c r="F114" s="21"/>
      <c r="G114" s="21"/>
      <c r="H114" s="21"/>
      <c r="I114" s="21"/>
    </row>
    <row r="115" spans="2:9" x14ac:dyDescent="0.25">
      <c r="B115" s="22"/>
      <c r="C115" s="23"/>
      <c r="D115" s="23"/>
      <c r="E115" s="23"/>
      <c r="F115" s="23"/>
      <c r="G115" s="23"/>
      <c r="H115" s="23"/>
      <c r="I115" s="23"/>
    </row>
    <row r="116" spans="2:9" x14ac:dyDescent="0.25">
      <c r="B116" s="22"/>
      <c r="C116" s="23"/>
      <c r="D116" s="23"/>
      <c r="E116" s="23"/>
      <c r="F116" s="23"/>
      <c r="G116" s="23"/>
      <c r="H116" s="23"/>
      <c r="I116" s="23"/>
    </row>
    <row r="117" spans="2:9" x14ac:dyDescent="0.25">
      <c r="B117" s="22"/>
      <c r="C117" s="23"/>
      <c r="D117" s="23"/>
      <c r="E117" s="23"/>
      <c r="F117" s="23"/>
      <c r="G117" s="23"/>
      <c r="H117" s="23"/>
      <c r="I117" s="23"/>
    </row>
    <row r="118" spans="2:9" x14ac:dyDescent="0.25">
      <c r="B118" s="22"/>
      <c r="C118" s="21"/>
      <c r="D118" s="21"/>
      <c r="E118" s="23"/>
      <c r="F118" s="23"/>
      <c r="G118" s="23"/>
      <c r="H118" s="23"/>
      <c r="I118" s="23"/>
    </row>
    <row r="119" spans="2:9" x14ac:dyDescent="0.25">
      <c r="B119" s="20"/>
      <c r="C119" s="24"/>
      <c r="D119" s="24"/>
      <c r="E119" s="24"/>
      <c r="F119" s="24"/>
      <c r="G119" s="24"/>
      <c r="H119" s="24"/>
      <c r="I119" s="24"/>
    </row>
    <row r="120" spans="2:9" x14ac:dyDescent="0.25">
      <c r="B120" s="22"/>
      <c r="C120" s="21"/>
      <c r="D120" s="21"/>
      <c r="E120" s="21"/>
      <c r="F120" s="21"/>
      <c r="G120" s="21"/>
      <c r="H120" s="21"/>
      <c r="I120" s="21"/>
    </row>
    <row r="121" spans="2:9" x14ac:dyDescent="0.25">
      <c r="B121" s="20"/>
      <c r="C121" s="21"/>
      <c r="D121" s="21"/>
      <c r="E121" s="21"/>
      <c r="F121" s="21"/>
      <c r="G121" s="21"/>
      <c r="H121" s="21"/>
      <c r="I121" s="21"/>
    </row>
    <row r="122" spans="2:9" x14ac:dyDescent="0.25">
      <c r="B122" s="22"/>
      <c r="C122" s="23"/>
      <c r="D122" s="23"/>
      <c r="E122" s="23"/>
      <c r="F122" s="23"/>
      <c r="G122" s="23"/>
      <c r="H122" s="23"/>
      <c r="I122" s="23"/>
    </row>
    <row r="123" spans="2:9" x14ac:dyDescent="0.25">
      <c r="B123" s="22"/>
      <c r="C123" s="23"/>
      <c r="D123" s="23"/>
      <c r="E123" s="23"/>
      <c r="F123" s="23"/>
      <c r="G123" s="23"/>
      <c r="H123" s="23"/>
      <c r="I123" s="23"/>
    </row>
    <row r="124" spans="2:9" x14ac:dyDescent="0.25">
      <c r="B124" s="22"/>
      <c r="C124" s="23"/>
      <c r="D124" s="23"/>
      <c r="E124" s="23"/>
      <c r="F124" s="21"/>
      <c r="G124" s="21"/>
      <c r="H124" s="21"/>
      <c r="I124" s="23"/>
    </row>
    <row r="125" spans="2:9" x14ac:dyDescent="0.25">
      <c r="B125" s="22"/>
      <c r="C125" s="23"/>
      <c r="D125" s="23"/>
      <c r="E125" s="23"/>
      <c r="F125" s="23"/>
      <c r="G125" s="23"/>
      <c r="H125" s="23"/>
      <c r="I125" s="23"/>
    </row>
    <row r="126" spans="2:9" x14ac:dyDescent="0.25">
      <c r="B126" s="20"/>
      <c r="C126" s="24"/>
      <c r="D126" s="24"/>
      <c r="E126" s="24"/>
      <c r="F126" s="24"/>
      <c r="G126" s="24"/>
      <c r="H126" s="24"/>
      <c r="I126" s="24"/>
    </row>
    <row r="127" spans="2:9" x14ac:dyDescent="0.25">
      <c r="B127" s="22"/>
      <c r="C127" s="21"/>
      <c r="D127" s="21"/>
      <c r="E127" s="21"/>
      <c r="F127" s="21"/>
      <c r="G127" s="21"/>
      <c r="H127" s="21"/>
      <c r="I127" s="21"/>
    </row>
    <row r="128" spans="2:9" x14ac:dyDescent="0.25">
      <c r="B128" s="22"/>
      <c r="C128" s="23"/>
      <c r="D128" s="23"/>
      <c r="E128" s="23"/>
      <c r="F128" s="23"/>
      <c r="G128" s="23"/>
      <c r="H128" s="23"/>
      <c r="I128" s="23"/>
    </row>
    <row r="129" spans="2:9" x14ac:dyDescent="0.25">
      <c r="B129" s="22"/>
      <c r="C129" s="23"/>
      <c r="D129" s="23"/>
      <c r="E129" s="23"/>
      <c r="F129" s="23"/>
      <c r="G129" s="23"/>
      <c r="H129" s="23"/>
      <c r="I129" s="23"/>
    </row>
    <row r="130" spans="2:9" x14ac:dyDescent="0.25">
      <c r="B130" s="22"/>
      <c r="C130" s="23"/>
      <c r="D130" s="23"/>
      <c r="E130" s="23"/>
      <c r="F130" s="23"/>
      <c r="G130" s="23"/>
      <c r="H130" s="23"/>
      <c r="I130" s="23"/>
    </row>
    <row r="131" spans="2:9" x14ac:dyDescent="0.25">
      <c r="B131" s="20"/>
      <c r="C131" s="24"/>
      <c r="D131" s="24"/>
      <c r="E131" s="24"/>
      <c r="F131" s="24"/>
      <c r="G131" s="24"/>
      <c r="H131" s="24"/>
      <c r="I131" s="24"/>
    </row>
    <row r="132" spans="2:9" x14ac:dyDescent="0.25">
      <c r="B132" s="22"/>
      <c r="C132" s="21"/>
      <c r="D132" s="21"/>
      <c r="E132" s="21"/>
      <c r="F132" s="21"/>
      <c r="G132" s="21"/>
      <c r="H132" s="21"/>
      <c r="I132" s="21"/>
    </row>
    <row r="133" spans="2:9" x14ac:dyDescent="0.25">
      <c r="B133" s="20"/>
      <c r="C133" s="24"/>
      <c r="D133" s="24"/>
      <c r="E133" s="24"/>
      <c r="F133" s="24"/>
      <c r="G133" s="24"/>
      <c r="H133" s="24"/>
      <c r="I133" s="24"/>
    </row>
    <row r="134" spans="2:9" x14ac:dyDescent="0.25">
      <c r="B134" s="20"/>
      <c r="C134" s="24"/>
      <c r="D134" s="24"/>
      <c r="E134" s="24"/>
      <c r="F134" s="24"/>
      <c r="G134" s="24"/>
      <c r="H134" s="24"/>
      <c r="I134" s="2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66D9-FA9B-4138-9E05-34DADD69C9AA}">
  <dimension ref="B2:L26"/>
  <sheetViews>
    <sheetView showGridLines="0" topLeftCell="A13" workbookViewId="0">
      <selection activeCell="B24" sqref="B24"/>
    </sheetView>
  </sheetViews>
  <sheetFormatPr defaultRowHeight="15.75" x14ac:dyDescent="0.25"/>
  <cols>
    <col min="1" max="1" width="9.140625" style="1"/>
    <col min="2" max="2" width="11.42578125" style="1" customWidth="1"/>
    <col min="3" max="3" width="9.140625" style="1"/>
    <col min="4" max="4" width="18.140625" style="1" customWidth="1"/>
    <col min="5" max="5" width="20.140625" style="1" bestFit="1" customWidth="1"/>
    <col min="6" max="8" width="9.140625" style="1"/>
    <col min="9" max="9" width="2.42578125" style="1" customWidth="1"/>
    <col min="10" max="16384" width="9.140625" style="1"/>
  </cols>
  <sheetData>
    <row r="2" spans="2:12" ht="26.25" x14ac:dyDescent="0.4"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</row>
    <row r="4" spans="2:12" ht="26.25" x14ac:dyDescent="0.4">
      <c r="B4" s="2" t="s">
        <v>144</v>
      </c>
      <c r="C4" s="3"/>
      <c r="D4" s="3"/>
      <c r="E4" s="3"/>
      <c r="F4" s="3"/>
      <c r="G4" s="3"/>
      <c r="H4" s="3"/>
      <c r="I4" s="3"/>
      <c r="J4" s="3"/>
      <c r="K4" s="3"/>
      <c r="L4" s="3"/>
    </row>
    <row r="6" spans="2:12" ht="16.5" thickBot="1" x14ac:dyDescent="0.3">
      <c r="B6" s="5" t="s">
        <v>1</v>
      </c>
      <c r="G6" s="7">
        <v>2024</v>
      </c>
      <c r="H6" s="7" t="s">
        <v>135</v>
      </c>
      <c r="I6" s="7"/>
      <c r="J6" s="7">
        <f>G6+1</f>
        <v>2025</v>
      </c>
      <c r="K6" s="7" t="s">
        <v>135</v>
      </c>
    </row>
    <row r="8" spans="2:12" x14ac:dyDescent="0.25">
      <c r="B8" s="10" t="s">
        <v>145</v>
      </c>
    </row>
    <row r="9" spans="2:12" x14ac:dyDescent="0.25">
      <c r="B9" s="15" t="s">
        <v>131</v>
      </c>
      <c r="G9" s="8">
        <v>389265</v>
      </c>
      <c r="H9" s="31">
        <f>G9/SUM($G$9:$G$12)</f>
        <v>0.64637908817981349</v>
      </c>
      <c r="I9" s="31"/>
      <c r="J9" s="8">
        <v>393929</v>
      </c>
      <c r="K9" s="31">
        <f>J9/SUM($J$9:$J$12)</f>
        <v>0.64208640715615295</v>
      </c>
    </row>
    <row r="10" spans="2:12" x14ac:dyDescent="0.25">
      <c r="B10" s="15" t="s">
        <v>132</v>
      </c>
      <c r="G10" s="8">
        <v>25965</v>
      </c>
      <c r="H10" s="31">
        <f t="shared" ref="H10:H12" si="0">G10/SUM($G$9:$G$12)</f>
        <v>4.3115186375833579E-2</v>
      </c>
      <c r="I10" s="31"/>
      <c r="J10" s="8">
        <v>29916</v>
      </c>
      <c r="K10" s="31">
        <f t="shared" ref="K10:K12" si="1">J10/SUM($J$9:$J$12)</f>
        <v>4.8761723448853656E-2</v>
      </c>
    </row>
    <row r="11" spans="2:12" x14ac:dyDescent="0.25">
      <c r="B11" s="15" t="s">
        <v>133</v>
      </c>
      <c r="G11" s="8">
        <v>122069</v>
      </c>
      <c r="H11" s="31">
        <f t="shared" si="0"/>
        <v>0.20269700310847791</v>
      </c>
      <c r="I11" s="31"/>
      <c r="J11" s="8">
        <v>125493</v>
      </c>
      <c r="K11" s="31">
        <f t="shared" si="1"/>
        <v>0.20454789947743654</v>
      </c>
    </row>
    <row r="12" spans="2:12" ht="16.5" thickBot="1" x14ac:dyDescent="0.3">
      <c r="B12" s="15" t="s">
        <v>134</v>
      </c>
      <c r="G12" s="9">
        <v>64925</v>
      </c>
      <c r="H12" s="33">
        <f t="shared" si="0"/>
        <v>0.10780872233587502</v>
      </c>
      <c r="I12" s="33"/>
      <c r="J12" s="9">
        <v>64176</v>
      </c>
      <c r="K12" s="33">
        <f t="shared" si="1"/>
        <v>0.1046039699175569</v>
      </c>
    </row>
    <row r="13" spans="2:12" x14ac:dyDescent="0.25">
      <c r="B13" s="10" t="s">
        <v>136</v>
      </c>
      <c r="G13" s="11">
        <f>SUM(G9:G12)</f>
        <v>602224</v>
      </c>
      <c r="H13" s="32">
        <f t="shared" ref="H13:K13" si="2">SUM(H9:H12)</f>
        <v>1</v>
      </c>
      <c r="I13" s="32"/>
      <c r="J13" s="11">
        <f t="shared" si="2"/>
        <v>613514</v>
      </c>
      <c r="K13" s="32">
        <f t="shared" si="2"/>
        <v>1</v>
      </c>
    </row>
    <row r="16" spans="2:12" ht="26.25" x14ac:dyDescent="0.4">
      <c r="B16" s="2" t="s">
        <v>188</v>
      </c>
      <c r="C16" s="3"/>
      <c r="D16" s="3"/>
      <c r="E16" s="3"/>
      <c r="F16" s="3"/>
      <c r="G16" s="43"/>
      <c r="H16" s="43"/>
      <c r="I16" s="43"/>
      <c r="J16" s="43"/>
      <c r="K16" s="43"/>
      <c r="L16" s="43"/>
    </row>
    <row r="18" spans="2:6" x14ac:dyDescent="0.25">
      <c r="B18" s="55" t="s">
        <v>189</v>
      </c>
      <c r="C18" s="54"/>
      <c r="D18" s="54"/>
      <c r="E18" s="56" t="s">
        <v>190</v>
      </c>
    </row>
    <row r="19" spans="2:6" x14ac:dyDescent="0.25">
      <c r="B19" s="51" t="s">
        <v>191</v>
      </c>
      <c r="C19" s="52"/>
      <c r="D19" s="52"/>
      <c r="E19" s="53" t="s">
        <v>197</v>
      </c>
    </row>
    <row r="20" spans="2:6" x14ac:dyDescent="0.25">
      <c r="B20" s="44" t="s">
        <v>192</v>
      </c>
      <c r="C20" s="45"/>
      <c r="D20" s="45"/>
      <c r="E20" s="46" t="s">
        <v>198</v>
      </c>
    </row>
    <row r="21" spans="2:6" x14ac:dyDescent="0.25">
      <c r="B21" s="44" t="s">
        <v>137</v>
      </c>
      <c r="C21" s="45"/>
      <c r="D21" s="45"/>
      <c r="E21" s="46" t="s">
        <v>199</v>
      </c>
    </row>
    <row r="22" spans="2:6" x14ac:dyDescent="0.25">
      <c r="B22" s="44" t="s">
        <v>193</v>
      </c>
      <c r="C22" s="45"/>
      <c r="D22" s="45"/>
      <c r="E22" s="46" t="s">
        <v>200</v>
      </c>
    </row>
    <row r="23" spans="2:6" x14ac:dyDescent="0.25">
      <c r="B23" s="47" t="s">
        <v>205</v>
      </c>
      <c r="C23" s="48"/>
      <c r="D23" s="48"/>
      <c r="E23" s="49" t="s">
        <v>201</v>
      </c>
    </row>
    <row r="24" spans="2:6" x14ac:dyDescent="0.25">
      <c r="B24" s="44" t="s">
        <v>194</v>
      </c>
      <c r="C24" s="45"/>
      <c r="D24" s="45"/>
      <c r="E24" s="45" t="s">
        <v>202</v>
      </c>
      <c r="F24" s="50"/>
    </row>
    <row r="25" spans="2:6" x14ac:dyDescent="0.25">
      <c r="B25" s="44" t="s">
        <v>195</v>
      </c>
      <c r="C25" s="45"/>
      <c r="D25" s="45"/>
      <c r="E25" s="46" t="s">
        <v>203</v>
      </c>
    </row>
    <row r="26" spans="2:6" x14ac:dyDescent="0.25">
      <c r="B26" s="44" t="s">
        <v>196</v>
      </c>
      <c r="C26" s="45"/>
      <c r="D26" s="45"/>
      <c r="E26" s="46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032C-C206-4780-AE6A-2755FCC3E14B}">
  <dimension ref="B2:N118"/>
  <sheetViews>
    <sheetView showGridLines="0" topLeftCell="A71" workbookViewId="0">
      <selection activeCell="B75" sqref="B75"/>
    </sheetView>
  </sheetViews>
  <sheetFormatPr defaultRowHeight="15.75" x14ac:dyDescent="0.25"/>
  <cols>
    <col min="1" max="5" width="9.140625" style="1"/>
    <col min="6" max="6" width="21.5703125" style="1" customWidth="1"/>
    <col min="7" max="13" width="12.85546875" style="1" customWidth="1"/>
    <col min="14" max="16384" width="9.140625" style="1"/>
  </cols>
  <sheetData>
    <row r="2" spans="2:14" ht="26.25" x14ac:dyDescent="0.4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2:14" ht="16.5" thickBot="1" x14ac:dyDescent="0.3">
      <c r="B4" s="5" t="s">
        <v>1</v>
      </c>
      <c r="G4" s="28">
        <v>2020</v>
      </c>
      <c r="H4" s="28">
        <v>2021</v>
      </c>
      <c r="I4" s="28">
        <v>2022</v>
      </c>
      <c r="J4" s="28">
        <v>2023</v>
      </c>
      <c r="K4" s="28">
        <v>2024</v>
      </c>
      <c r="L4" s="28">
        <v>2025</v>
      </c>
      <c r="M4" s="29" t="s">
        <v>14</v>
      </c>
    </row>
    <row r="6" spans="2:14" x14ac:dyDescent="0.25">
      <c r="B6" s="1" t="s">
        <v>3</v>
      </c>
      <c r="G6" s="8">
        <v>504179</v>
      </c>
      <c r="H6" s="8">
        <v>692847</v>
      </c>
      <c r="I6" s="8">
        <v>688415</v>
      </c>
      <c r="J6" s="8">
        <v>659704</v>
      </c>
      <c r="K6" s="8">
        <v>602224</v>
      </c>
      <c r="L6" s="8">
        <v>613514</v>
      </c>
      <c r="M6" s="8">
        <v>319337</v>
      </c>
    </row>
    <row r="7" spans="2:14" ht="16.5" thickBot="1" x14ac:dyDescent="0.3">
      <c r="B7" s="1" t="s">
        <v>4</v>
      </c>
      <c r="G7" s="9">
        <v>-295935</v>
      </c>
      <c r="H7" s="9">
        <v>-406040</v>
      </c>
      <c r="I7" s="9">
        <v>-434757</v>
      </c>
      <c r="J7" s="9">
        <v>-403615</v>
      </c>
      <c r="K7" s="9">
        <v>-363680</v>
      </c>
      <c r="L7" s="9">
        <v>-347279</v>
      </c>
      <c r="M7" s="9">
        <v>-188057</v>
      </c>
    </row>
    <row r="8" spans="2:14" x14ac:dyDescent="0.25">
      <c r="B8" s="10" t="s">
        <v>5</v>
      </c>
      <c r="G8" s="11">
        <v>208244</v>
      </c>
      <c r="H8" s="11">
        <v>286807</v>
      </c>
      <c r="I8" s="11">
        <v>253658</v>
      </c>
      <c r="J8" s="11">
        <v>256089</v>
      </c>
      <c r="K8" s="11">
        <v>238544</v>
      </c>
      <c r="L8" s="11">
        <v>266235</v>
      </c>
      <c r="M8" s="11">
        <v>131280</v>
      </c>
    </row>
    <row r="10" spans="2:14" x14ac:dyDescent="0.25">
      <c r="B10" s="12" t="s">
        <v>6</v>
      </c>
      <c r="G10" s="8">
        <v>-70875</v>
      </c>
      <c r="H10" s="8">
        <v>-116793</v>
      </c>
      <c r="I10" s="8">
        <v>-150728</v>
      </c>
      <c r="J10" s="8">
        <v>-120244</v>
      </c>
      <c r="K10" s="8">
        <v>-132149</v>
      </c>
      <c r="L10" s="8">
        <v>-146132</v>
      </c>
      <c r="M10" s="8">
        <v>-75829</v>
      </c>
    </row>
    <row r="11" spans="2:14" x14ac:dyDescent="0.25">
      <c r="B11" s="12" t="s">
        <v>7</v>
      </c>
      <c r="G11" s="8">
        <v>-23483</v>
      </c>
      <c r="H11" s="8">
        <v>-28280</v>
      </c>
      <c r="I11" s="8">
        <v>-29083</v>
      </c>
      <c r="J11" s="8">
        <v>-23844</v>
      </c>
      <c r="K11" s="8">
        <v>-18710</v>
      </c>
      <c r="L11" s="8">
        <v>-18831</v>
      </c>
      <c r="M11" s="8">
        <v>-7736</v>
      </c>
    </row>
    <row r="12" spans="2:14" x14ac:dyDescent="0.25">
      <c r="B12" s="12" t="s">
        <v>8</v>
      </c>
      <c r="G12" s="8">
        <v>-11082</v>
      </c>
      <c r="H12" s="8">
        <v>-13999</v>
      </c>
      <c r="I12" s="8">
        <v>-14683</v>
      </c>
      <c r="J12" s="8">
        <v>-14557</v>
      </c>
      <c r="K12" s="8">
        <v>-13884</v>
      </c>
      <c r="L12" s="8">
        <v>-13778</v>
      </c>
      <c r="M12" s="8">
        <v>-6844</v>
      </c>
    </row>
    <row r="13" spans="2:14" x14ac:dyDescent="0.25">
      <c r="B13" s="12" t="s">
        <v>16</v>
      </c>
      <c r="G13" s="8">
        <v>0</v>
      </c>
      <c r="H13" s="8">
        <v>0</v>
      </c>
      <c r="I13" s="8">
        <v>-2395</v>
      </c>
      <c r="J13" s="8">
        <v>0</v>
      </c>
      <c r="K13" s="8">
        <v>-7695</v>
      </c>
      <c r="L13" s="8">
        <v>0</v>
      </c>
      <c r="M13" s="8">
        <v>0</v>
      </c>
    </row>
    <row r="14" spans="2:14" x14ac:dyDescent="0.25">
      <c r="B14" s="12" t="s">
        <v>17</v>
      </c>
      <c r="G14" s="8">
        <v>0</v>
      </c>
      <c r="H14" s="8">
        <v>0</v>
      </c>
      <c r="I14" s="8">
        <v>0</v>
      </c>
      <c r="J14" s="8">
        <v>0</v>
      </c>
      <c r="K14" s="8">
        <v>-40906</v>
      </c>
      <c r="L14" s="8">
        <v>0</v>
      </c>
      <c r="M14" s="8">
        <v>0</v>
      </c>
    </row>
    <row r="15" spans="2:14" x14ac:dyDescent="0.25">
      <c r="B15" s="12" t="s">
        <v>9</v>
      </c>
      <c r="G15" s="8">
        <v>-9743</v>
      </c>
      <c r="H15" s="8">
        <v>-23668</v>
      </c>
      <c r="I15" s="8">
        <v>-4513</v>
      </c>
      <c r="J15" s="8">
        <v>-2641</v>
      </c>
      <c r="K15" s="8">
        <v>-1566</v>
      </c>
      <c r="L15" s="8">
        <v>-2903</v>
      </c>
      <c r="M15" s="8">
        <v>-1715</v>
      </c>
    </row>
    <row r="16" spans="2:14" x14ac:dyDescent="0.25">
      <c r="B16" s="12" t="s">
        <v>18</v>
      </c>
      <c r="G16" s="8">
        <v>0</v>
      </c>
      <c r="H16" s="8">
        <v>0</v>
      </c>
      <c r="I16" s="8">
        <v>0</v>
      </c>
      <c r="J16" s="8">
        <v>0</v>
      </c>
      <c r="K16" s="8">
        <v>-9234</v>
      </c>
      <c r="L16" s="8">
        <v>0</v>
      </c>
      <c r="M16" s="8">
        <v>-28224</v>
      </c>
    </row>
    <row r="17" spans="2:13" x14ac:dyDescent="0.25">
      <c r="B17" s="12" t="s">
        <v>10</v>
      </c>
      <c r="G17" s="8">
        <v>-6089</v>
      </c>
      <c r="H17" s="8">
        <v>-25789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2:13" x14ac:dyDescent="0.25">
      <c r="B18" s="12" t="s">
        <v>11</v>
      </c>
      <c r="G18" s="8">
        <v>-1517</v>
      </c>
      <c r="H18" s="8">
        <v>-755</v>
      </c>
      <c r="I18" s="8">
        <v>-1514</v>
      </c>
      <c r="J18" s="8">
        <v>-765</v>
      </c>
      <c r="K18" s="8">
        <v>268</v>
      </c>
      <c r="L18" s="8">
        <v>-2110</v>
      </c>
      <c r="M18" s="8">
        <v>9341</v>
      </c>
    </row>
    <row r="19" spans="2:13" ht="16.5" thickBot="1" x14ac:dyDescent="0.3">
      <c r="B19" s="1" t="s">
        <v>12</v>
      </c>
      <c r="G19" s="13">
        <v>-122789</v>
      </c>
      <c r="H19" s="13">
        <v>-209284</v>
      </c>
      <c r="I19" s="13">
        <v>-202916</v>
      </c>
      <c r="J19" s="13">
        <v>-162051</v>
      </c>
      <c r="K19" s="13">
        <v>-223876</v>
      </c>
      <c r="L19" s="13">
        <v>-183754</v>
      </c>
      <c r="M19" s="13">
        <v>-111007</v>
      </c>
    </row>
    <row r="20" spans="2:13" x14ac:dyDescent="0.25">
      <c r="B20" s="10" t="s">
        <v>15</v>
      </c>
      <c r="G20" s="11">
        <v>85455</v>
      </c>
      <c r="H20" s="11">
        <v>77523</v>
      </c>
      <c r="I20" s="11">
        <v>50742</v>
      </c>
      <c r="J20" s="11">
        <v>94038</v>
      </c>
      <c r="K20" s="11">
        <v>14668</v>
      </c>
      <c r="L20" s="11">
        <v>82481</v>
      </c>
      <c r="M20" s="11">
        <v>20273</v>
      </c>
    </row>
    <row r="22" spans="2:13" ht="16.5" thickBot="1" x14ac:dyDescent="0.3">
      <c r="B22" s="1" t="s">
        <v>25</v>
      </c>
      <c r="G22" s="14">
        <v>18968</v>
      </c>
      <c r="H22" s="14">
        <v>25526</v>
      </c>
      <c r="I22" s="14">
        <v>24790</v>
      </c>
      <c r="J22" s="14">
        <v>24865</v>
      </c>
      <c r="K22" s="14">
        <v>24435</v>
      </c>
      <c r="L22" s="14">
        <v>23482</v>
      </c>
      <c r="M22" s="14">
        <v>12018</v>
      </c>
    </row>
    <row r="23" spans="2:13" x14ac:dyDescent="0.25">
      <c r="B23" s="10" t="s">
        <v>26</v>
      </c>
      <c r="G23" s="11">
        <f>G20+G22</f>
        <v>104423</v>
      </c>
      <c r="H23" s="11">
        <f t="shared" ref="H23:M23" si="0">H20+H22</f>
        <v>103049</v>
      </c>
      <c r="I23" s="11">
        <f t="shared" si="0"/>
        <v>75532</v>
      </c>
      <c r="J23" s="11">
        <f t="shared" si="0"/>
        <v>118903</v>
      </c>
      <c r="K23" s="11">
        <f t="shared" si="0"/>
        <v>39103</v>
      </c>
      <c r="L23" s="11">
        <f t="shared" si="0"/>
        <v>105963</v>
      </c>
      <c r="M23" s="11">
        <f t="shared" si="0"/>
        <v>32291</v>
      </c>
    </row>
    <row r="25" spans="2:13" x14ac:dyDescent="0.25">
      <c r="B25" s="1" t="s">
        <v>13</v>
      </c>
      <c r="G25" s="8">
        <v>0</v>
      </c>
      <c r="H25" s="8">
        <v>-32580</v>
      </c>
      <c r="I25" s="8">
        <v>57021</v>
      </c>
      <c r="J25" s="8">
        <v>-4111</v>
      </c>
      <c r="K25" s="8">
        <v>7570</v>
      </c>
      <c r="L25" s="8">
        <v>-1211</v>
      </c>
      <c r="M25" s="8">
        <v>1579</v>
      </c>
    </row>
    <row r="26" spans="2:13" x14ac:dyDescent="0.25">
      <c r="B26" s="1" t="s">
        <v>19</v>
      </c>
      <c r="G26" s="8">
        <v>0</v>
      </c>
      <c r="H26" s="8">
        <v>-8875</v>
      </c>
      <c r="I26" s="8">
        <v>10731</v>
      </c>
      <c r="J26" s="8">
        <v>-2303</v>
      </c>
      <c r="K26" s="8">
        <v>2333</v>
      </c>
      <c r="L26" s="8">
        <v>-897</v>
      </c>
      <c r="M26" s="8">
        <v>1772</v>
      </c>
    </row>
    <row r="27" spans="2:13" x14ac:dyDescent="0.25">
      <c r="B27" s="1" t="s">
        <v>22</v>
      </c>
      <c r="G27" s="8">
        <v>0</v>
      </c>
      <c r="H27" s="8">
        <v>-13650</v>
      </c>
      <c r="I27" s="8">
        <v>0</v>
      </c>
      <c r="J27" s="8">
        <v>701</v>
      </c>
      <c r="K27" s="8">
        <v>-141</v>
      </c>
      <c r="L27" s="8">
        <v>93</v>
      </c>
      <c r="M27" s="8"/>
    </row>
    <row r="28" spans="2:13" ht="16.5" thickBot="1" x14ac:dyDescent="0.3">
      <c r="B28" s="1" t="s">
        <v>20</v>
      </c>
      <c r="G28" s="9">
        <v>-43772</v>
      </c>
      <c r="H28" s="9">
        <v>-39128</v>
      </c>
      <c r="I28" s="9">
        <v>-40227</v>
      </c>
      <c r="J28" s="9">
        <v>-60746</v>
      </c>
      <c r="K28" s="9">
        <v>-50690</v>
      </c>
      <c r="L28" s="9">
        <v>-51833</v>
      </c>
      <c r="M28" s="9">
        <v>-18119</v>
      </c>
    </row>
    <row r="29" spans="2:13" x14ac:dyDescent="0.25">
      <c r="B29" s="10" t="s">
        <v>21</v>
      </c>
      <c r="G29" s="11">
        <v>41683</v>
      </c>
      <c r="H29" s="11">
        <v>-16710</v>
      </c>
      <c r="I29" s="11">
        <v>78267</v>
      </c>
      <c r="J29" s="11">
        <v>27579</v>
      </c>
      <c r="K29" s="11">
        <v>-26260</v>
      </c>
      <c r="L29" s="11">
        <v>28633</v>
      </c>
      <c r="M29" s="11">
        <v>5505</v>
      </c>
    </row>
    <row r="31" spans="2:13" ht="16.5" thickBot="1" x14ac:dyDescent="0.3">
      <c r="B31" s="1" t="s">
        <v>23</v>
      </c>
      <c r="G31" s="9">
        <v>-8826</v>
      </c>
      <c r="H31" s="9">
        <v>-10429</v>
      </c>
      <c r="I31" s="9">
        <v>-4493</v>
      </c>
      <c r="J31" s="9">
        <v>-8399</v>
      </c>
      <c r="K31" s="9">
        <v>3025</v>
      </c>
      <c r="L31" s="9">
        <v>-9458</v>
      </c>
      <c r="M31" s="9">
        <v>-679</v>
      </c>
    </row>
    <row r="32" spans="2:13" x14ac:dyDescent="0.25">
      <c r="B32" s="10" t="s">
        <v>24</v>
      </c>
      <c r="G32" s="11">
        <v>32857</v>
      </c>
      <c r="H32" s="11">
        <v>-27139</v>
      </c>
      <c r="I32" s="11">
        <v>73774</v>
      </c>
      <c r="J32" s="11">
        <v>19180</v>
      </c>
      <c r="K32" s="11">
        <v>-23235</v>
      </c>
      <c r="L32" s="11">
        <v>19175</v>
      </c>
      <c r="M32" s="11">
        <v>4826</v>
      </c>
    </row>
    <row r="35" spans="2:14" ht="26.25" x14ac:dyDescent="0.4">
      <c r="B35" s="2" t="s">
        <v>118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7" spans="2:14" ht="16.5" thickBot="1" x14ac:dyDescent="0.3">
      <c r="B37" s="5" t="s">
        <v>1</v>
      </c>
      <c r="G37" s="28">
        <v>2020</v>
      </c>
      <c r="H37" s="28">
        <v>2021</v>
      </c>
      <c r="I37" s="28">
        <v>2022</v>
      </c>
      <c r="J37" s="28">
        <v>2023</v>
      </c>
      <c r="K37" s="28">
        <v>2024</v>
      </c>
      <c r="L37" s="28">
        <v>2025</v>
      </c>
      <c r="M37" s="29" t="s">
        <v>14</v>
      </c>
    </row>
    <row r="39" spans="2:14" x14ac:dyDescent="0.25">
      <c r="B39" s="1" t="s">
        <v>3</v>
      </c>
      <c r="G39" s="17">
        <f>G6</f>
        <v>504179</v>
      </c>
      <c r="H39" s="17">
        <f t="shared" ref="H39:M39" si="1">H6</f>
        <v>692847</v>
      </c>
      <c r="I39" s="17">
        <f t="shared" si="1"/>
        <v>688415</v>
      </c>
      <c r="J39" s="17">
        <f t="shared" si="1"/>
        <v>659704</v>
      </c>
      <c r="K39" s="17">
        <f t="shared" si="1"/>
        <v>602224</v>
      </c>
      <c r="L39" s="17">
        <f t="shared" si="1"/>
        <v>613514</v>
      </c>
      <c r="M39" s="17">
        <f t="shared" si="1"/>
        <v>319337</v>
      </c>
    </row>
    <row r="40" spans="2:14" x14ac:dyDescent="0.25">
      <c r="B40" s="10" t="s">
        <v>117</v>
      </c>
      <c r="C40" s="10"/>
      <c r="D40" s="10"/>
      <c r="E40" s="10"/>
      <c r="F40" s="10"/>
      <c r="G40" s="10"/>
      <c r="H40" s="25">
        <f>(H6-G6)/G6</f>
        <v>0.37420836647301853</v>
      </c>
      <c r="I40" s="25">
        <f t="shared" ref="I40:M40" si="2">(I6-H6)/H6</f>
        <v>-6.3967946747261663E-3</v>
      </c>
      <c r="J40" s="25">
        <f t="shared" si="2"/>
        <v>-4.1705947720488371E-2</v>
      </c>
      <c r="K40" s="25">
        <f t="shared" si="2"/>
        <v>-8.7129985569285626E-2</v>
      </c>
      <c r="L40" s="25">
        <f t="shared" si="2"/>
        <v>1.8747177130104414E-2</v>
      </c>
      <c r="M40" s="25">
        <f t="shared" si="2"/>
        <v>-0.47949517044435824</v>
      </c>
    </row>
    <row r="41" spans="2:14" x14ac:dyDescent="0.25">
      <c r="B41" s="10"/>
      <c r="C41" s="10"/>
      <c r="D41" s="10"/>
      <c r="E41" s="10"/>
      <c r="F41" s="10"/>
      <c r="G41" s="10"/>
      <c r="H41" s="25"/>
      <c r="I41" s="25"/>
      <c r="J41" s="25"/>
      <c r="K41" s="25"/>
      <c r="L41" s="25"/>
      <c r="M41" s="25"/>
    </row>
    <row r="42" spans="2:14" x14ac:dyDescent="0.25">
      <c r="B42" s="1" t="s">
        <v>121</v>
      </c>
      <c r="H42" s="26">
        <f>(H7-G7)/G7</f>
        <v>0.37205805328872893</v>
      </c>
      <c r="I42" s="26">
        <f t="shared" ref="I42:M42" si="3">(I7-H7)/H7</f>
        <v>7.0724559156733327E-2</v>
      </c>
      <c r="J42" s="26">
        <f t="shared" si="3"/>
        <v>-7.1630819055242351E-2</v>
      </c>
      <c r="K42" s="26">
        <f t="shared" si="3"/>
        <v>-9.8943299926910547E-2</v>
      </c>
      <c r="L42" s="26">
        <f t="shared" si="3"/>
        <v>-4.5097338319401672E-2</v>
      </c>
      <c r="M42" s="26">
        <f t="shared" si="3"/>
        <v>-0.45848438863277075</v>
      </c>
    </row>
    <row r="43" spans="2:14" x14ac:dyDescent="0.25">
      <c r="B43" s="10" t="s">
        <v>119</v>
      </c>
      <c r="C43" s="10"/>
      <c r="D43" s="10"/>
      <c r="E43" s="10"/>
      <c r="F43" s="10"/>
      <c r="G43" s="25">
        <f>G8/G6</f>
        <v>0.41303584639582369</v>
      </c>
      <c r="H43" s="25">
        <f t="shared" ref="H43:M43" si="4">H8/H6</f>
        <v>0.41395430737233474</v>
      </c>
      <c r="I43" s="25">
        <f t="shared" si="4"/>
        <v>0.36846669523470582</v>
      </c>
      <c r="J43" s="25">
        <f t="shared" si="4"/>
        <v>0.38818773268011109</v>
      </c>
      <c r="K43" s="25">
        <f t="shared" si="4"/>
        <v>0.39610510374877123</v>
      </c>
      <c r="L43" s="25">
        <f t="shared" si="4"/>
        <v>0.4339509774838064</v>
      </c>
      <c r="M43" s="25">
        <f t="shared" si="4"/>
        <v>0.41110175144126737</v>
      </c>
    </row>
    <row r="44" spans="2:14" x14ac:dyDescent="0.25">
      <c r="B44" s="10"/>
      <c r="C44" s="10"/>
      <c r="D44" s="10"/>
      <c r="E44" s="10"/>
      <c r="F44" s="10"/>
      <c r="G44" s="25"/>
      <c r="H44" s="25"/>
      <c r="I44" s="25"/>
      <c r="J44" s="25"/>
      <c r="K44" s="25"/>
      <c r="L44" s="25"/>
      <c r="M44" s="25"/>
    </row>
    <row r="45" spans="2:14" x14ac:dyDescent="0.25">
      <c r="B45" s="1" t="s">
        <v>120</v>
      </c>
      <c r="G45" s="26">
        <f>-G10/G39</f>
        <v>0.1405750735353912</v>
      </c>
      <c r="H45" s="26">
        <f t="shared" ref="H45:M45" si="5">-H10/H39</f>
        <v>0.16856968421599575</v>
      </c>
      <c r="I45" s="26">
        <f t="shared" si="5"/>
        <v>0.21894932562480479</v>
      </c>
      <c r="J45" s="26">
        <f t="shared" si="5"/>
        <v>0.18226962395256055</v>
      </c>
      <c r="K45" s="26">
        <f t="shared" si="5"/>
        <v>0.21943496107760568</v>
      </c>
      <c r="L45" s="26">
        <f t="shared" si="5"/>
        <v>0.23818853359499539</v>
      </c>
      <c r="M45" s="26">
        <f t="shared" si="5"/>
        <v>0.23745760748049866</v>
      </c>
    </row>
    <row r="46" spans="2:14" x14ac:dyDescent="0.25">
      <c r="B46" s="1" t="s">
        <v>122</v>
      </c>
      <c r="G46" s="30">
        <f>-G11/G39</f>
        <v>4.6576711842421042E-2</v>
      </c>
      <c r="H46" s="30">
        <f t="shared" ref="H46:M46" si="6">-H11/H39</f>
        <v>4.0817092373929595E-2</v>
      </c>
      <c r="I46" s="30">
        <f t="shared" si="6"/>
        <v>4.2246319443940063E-2</v>
      </c>
      <c r="J46" s="30">
        <f t="shared" si="6"/>
        <v>3.6143482531559606E-2</v>
      </c>
      <c r="K46" s="30">
        <f t="shared" si="6"/>
        <v>3.1068173968490129E-2</v>
      </c>
      <c r="L46" s="30">
        <f t="shared" si="6"/>
        <v>3.0693676101930845E-2</v>
      </c>
      <c r="M46" s="30">
        <f t="shared" si="6"/>
        <v>2.4225191568781571E-2</v>
      </c>
    </row>
    <row r="47" spans="2:14" x14ac:dyDescent="0.25">
      <c r="B47" s="1" t="s">
        <v>123</v>
      </c>
      <c r="G47" s="30">
        <f>-G31/G29</f>
        <v>0.21174099752896863</v>
      </c>
      <c r="H47" s="30">
        <f t="shared" ref="H47:M47" si="7">-H31/H29</f>
        <v>-0.62411729503291447</v>
      </c>
      <c r="I47" s="30">
        <f t="shared" si="7"/>
        <v>5.7406058747620323E-2</v>
      </c>
      <c r="J47" s="30">
        <f t="shared" si="7"/>
        <v>0.30454331194024437</v>
      </c>
      <c r="K47" s="30">
        <f t="shared" si="7"/>
        <v>0.1151942117288652</v>
      </c>
      <c r="L47" s="30">
        <f t="shared" si="7"/>
        <v>0.33031816435581324</v>
      </c>
      <c r="M47" s="30">
        <f t="shared" si="7"/>
        <v>0.12334241598546776</v>
      </c>
    </row>
    <row r="48" spans="2:14" x14ac:dyDescent="0.25">
      <c r="G48" s="26"/>
      <c r="H48" s="26"/>
      <c r="I48" s="26"/>
      <c r="J48" s="26"/>
      <c r="K48" s="26"/>
      <c r="L48" s="26"/>
      <c r="M48" s="26"/>
    </row>
    <row r="50" spans="2:14" ht="26.25" x14ac:dyDescent="0.4">
      <c r="B50" s="2" t="s">
        <v>78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2" spans="2:14" ht="16.5" thickBot="1" x14ac:dyDescent="0.3">
      <c r="B52" s="5" t="s">
        <v>1</v>
      </c>
      <c r="G52" s="28">
        <v>2020</v>
      </c>
      <c r="H52" s="28">
        <v>2021</v>
      </c>
      <c r="I52" s="28">
        <v>2022</v>
      </c>
      <c r="J52" s="28">
        <v>2023</v>
      </c>
      <c r="K52" s="28">
        <v>2024</v>
      </c>
      <c r="L52" s="28">
        <v>2025</v>
      </c>
      <c r="M52" s="29" t="s">
        <v>14</v>
      </c>
    </row>
    <row r="54" spans="2:14" x14ac:dyDescent="0.25">
      <c r="B54" s="10" t="s">
        <v>15</v>
      </c>
      <c r="G54" s="11">
        <f t="shared" ref="G54:M54" si="8">G20</f>
        <v>85455</v>
      </c>
      <c r="H54" s="11">
        <f t="shared" si="8"/>
        <v>77523</v>
      </c>
      <c r="I54" s="11">
        <f t="shared" si="8"/>
        <v>50742</v>
      </c>
      <c r="J54" s="11">
        <f t="shared" si="8"/>
        <v>94038</v>
      </c>
      <c r="K54" s="11">
        <f t="shared" si="8"/>
        <v>14668</v>
      </c>
      <c r="L54" s="11">
        <f t="shared" si="8"/>
        <v>82481</v>
      </c>
      <c r="M54" s="11">
        <f t="shared" si="8"/>
        <v>20273</v>
      </c>
    </row>
    <row r="55" spans="2:14" x14ac:dyDescent="0.25">
      <c r="B55" s="1" t="str">
        <f>B13</f>
        <v>Impairment of Indefinite-Lived Intangible Assets</v>
      </c>
      <c r="G55" s="8">
        <f t="shared" ref="G55:M56" si="9">G13</f>
        <v>0</v>
      </c>
      <c r="H55" s="8">
        <f t="shared" si="9"/>
        <v>0</v>
      </c>
      <c r="I55" s="8">
        <f t="shared" si="9"/>
        <v>-2395</v>
      </c>
      <c r="J55" s="8">
        <f t="shared" si="9"/>
        <v>0</v>
      </c>
      <c r="K55" s="8">
        <f t="shared" si="9"/>
        <v>-7695</v>
      </c>
      <c r="L55" s="8">
        <f t="shared" si="9"/>
        <v>0</v>
      </c>
      <c r="M55" s="8">
        <f t="shared" si="9"/>
        <v>0</v>
      </c>
    </row>
    <row r="56" spans="2:14" x14ac:dyDescent="0.25">
      <c r="B56" s="1" t="str">
        <f>B14</f>
        <v>Impairment of Goodwill</v>
      </c>
      <c r="G56" s="8">
        <f t="shared" si="9"/>
        <v>0</v>
      </c>
      <c r="H56" s="8">
        <f t="shared" si="9"/>
        <v>0</v>
      </c>
      <c r="I56" s="8">
        <f t="shared" si="9"/>
        <v>0</v>
      </c>
      <c r="J56" s="8">
        <f t="shared" si="9"/>
        <v>0</v>
      </c>
      <c r="K56" s="8">
        <f t="shared" si="9"/>
        <v>-40906</v>
      </c>
      <c r="L56" s="8">
        <f t="shared" si="9"/>
        <v>0</v>
      </c>
      <c r="M56" s="8">
        <f t="shared" si="9"/>
        <v>0</v>
      </c>
    </row>
    <row r="57" spans="2:14" x14ac:dyDescent="0.25">
      <c r="B57" s="1" t="str">
        <f>B15</f>
        <v>Acquisition and Restructuyring Costs</v>
      </c>
      <c r="G57" s="8" cm="1">
        <f t="array" ref="G57:H57">G15:H15</f>
        <v>-9743</v>
      </c>
      <c r="H57" s="8">
        <v>-23668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</row>
    <row r="58" spans="2:14" x14ac:dyDescent="0.25">
      <c r="B58" s="1" t="str">
        <f>B16</f>
        <v>Loss on Sale of Assets</v>
      </c>
      <c r="G58" s="8">
        <f t="shared" ref="G58:M58" si="10">G16</f>
        <v>0</v>
      </c>
      <c r="H58" s="8">
        <f t="shared" si="10"/>
        <v>0</v>
      </c>
      <c r="I58" s="8">
        <f t="shared" si="10"/>
        <v>0</v>
      </c>
      <c r="J58" s="8">
        <f t="shared" si="10"/>
        <v>0</v>
      </c>
      <c r="K58" s="8">
        <f t="shared" si="10"/>
        <v>-9234</v>
      </c>
      <c r="L58" s="8">
        <f t="shared" si="10"/>
        <v>0</v>
      </c>
      <c r="M58" s="8">
        <f t="shared" si="10"/>
        <v>-28224</v>
      </c>
    </row>
    <row r="59" spans="2:14" x14ac:dyDescent="0.25">
      <c r="B59" s="1" t="s">
        <v>96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8863</v>
      </c>
    </row>
    <row r="60" spans="2:14" ht="16.5" thickBot="1" x14ac:dyDescent="0.3">
      <c r="B60" s="1" t="str">
        <f>B17</f>
        <v>Related Party Acquisiton and Management Fee Costs</v>
      </c>
      <c r="G60" s="9">
        <f t="shared" ref="G60:M60" si="11">G17</f>
        <v>-6089</v>
      </c>
      <c r="H60" s="9">
        <f t="shared" si="11"/>
        <v>-25789</v>
      </c>
      <c r="I60" s="9">
        <f t="shared" si="11"/>
        <v>0</v>
      </c>
      <c r="J60" s="9">
        <f t="shared" si="11"/>
        <v>0</v>
      </c>
      <c r="K60" s="9">
        <f t="shared" si="11"/>
        <v>0</v>
      </c>
      <c r="L60" s="9">
        <f t="shared" si="11"/>
        <v>0</v>
      </c>
      <c r="M60" s="9">
        <f t="shared" si="11"/>
        <v>0</v>
      </c>
    </row>
    <row r="61" spans="2:14" x14ac:dyDescent="0.25">
      <c r="B61" s="10" t="s">
        <v>93</v>
      </c>
      <c r="C61" s="10"/>
      <c r="D61" s="10"/>
      <c r="E61" s="10"/>
      <c r="F61" s="10"/>
      <c r="G61" s="11">
        <f>-SUM(G55:G60)+G54</f>
        <v>101287</v>
      </c>
      <c r="H61" s="11">
        <f t="shared" ref="H61:M61" si="12">-SUM(H55:H60)+H54</f>
        <v>126980</v>
      </c>
      <c r="I61" s="11">
        <f t="shared" si="12"/>
        <v>53137</v>
      </c>
      <c r="J61" s="11">
        <f t="shared" si="12"/>
        <v>94038</v>
      </c>
      <c r="K61" s="11">
        <f t="shared" si="12"/>
        <v>72503</v>
      </c>
      <c r="L61" s="11">
        <f t="shared" si="12"/>
        <v>82481</v>
      </c>
      <c r="M61" s="11">
        <f t="shared" si="12"/>
        <v>39634</v>
      </c>
    </row>
    <row r="62" spans="2:14" x14ac:dyDescent="0.25">
      <c r="B62" s="10" t="s">
        <v>94</v>
      </c>
      <c r="C62" s="10"/>
      <c r="D62" s="10"/>
      <c r="E62" s="10"/>
      <c r="F62" s="10"/>
      <c r="G62" s="25">
        <f t="shared" ref="G62:M62" si="13">G61/G6</f>
        <v>0.20089492025649622</v>
      </c>
      <c r="H62" s="25">
        <f t="shared" si="13"/>
        <v>0.18327278605521855</v>
      </c>
      <c r="I62" s="25">
        <f t="shared" si="13"/>
        <v>7.7187452336163503E-2</v>
      </c>
      <c r="J62" s="25">
        <f t="shared" si="13"/>
        <v>0.14254574778991791</v>
      </c>
      <c r="K62" s="25">
        <f t="shared" si="13"/>
        <v>0.12039208002338</v>
      </c>
      <c r="L62" s="25">
        <f t="shared" si="13"/>
        <v>0.13444028987113579</v>
      </c>
      <c r="M62" s="25">
        <f t="shared" si="13"/>
        <v>0.12411339744533205</v>
      </c>
    </row>
    <row r="63" spans="2:14" x14ac:dyDescent="0.2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2:14" x14ac:dyDescent="0.25">
      <c r="B64" s="10" t="s">
        <v>74</v>
      </c>
      <c r="C64" s="10"/>
      <c r="D64" s="10"/>
      <c r="E64" s="10"/>
      <c r="F64" s="10"/>
      <c r="G64" s="11">
        <f>G54</f>
        <v>85455</v>
      </c>
      <c r="H64" s="11">
        <f t="shared" ref="H64:M64" si="14">H54</f>
        <v>77523</v>
      </c>
      <c r="I64" s="11">
        <f t="shared" si="14"/>
        <v>50742</v>
      </c>
      <c r="J64" s="11">
        <f t="shared" si="14"/>
        <v>94038</v>
      </c>
      <c r="K64" s="11">
        <f t="shared" si="14"/>
        <v>14668</v>
      </c>
      <c r="L64" s="11">
        <f t="shared" si="14"/>
        <v>82481</v>
      </c>
      <c r="M64" s="11">
        <f t="shared" si="14"/>
        <v>20273</v>
      </c>
    </row>
    <row r="65" spans="2:14" x14ac:dyDescent="0.25">
      <c r="B65" s="10" t="s">
        <v>75</v>
      </c>
      <c r="C65" s="10"/>
      <c r="D65" s="10"/>
      <c r="E65" s="10"/>
      <c r="F65" s="10"/>
      <c r="G65" s="25">
        <f t="shared" ref="G65:M65" si="15">G64/G6</f>
        <v>0.16949337437695738</v>
      </c>
      <c r="H65" s="25">
        <f t="shared" si="15"/>
        <v>0.11189050396407865</v>
      </c>
      <c r="I65" s="25">
        <f t="shared" si="15"/>
        <v>7.370844621340325E-2</v>
      </c>
      <c r="J65" s="25">
        <f t="shared" si="15"/>
        <v>0.14254574778991791</v>
      </c>
      <c r="K65" s="25">
        <f t="shared" si="15"/>
        <v>2.4356385663806157E-2</v>
      </c>
      <c r="L65" s="25">
        <f t="shared" si="15"/>
        <v>0.13444028987113579</v>
      </c>
      <c r="M65" s="25">
        <f t="shared" si="15"/>
        <v>6.3484657274290174E-2</v>
      </c>
    </row>
    <row r="66" spans="2:14" x14ac:dyDescent="0.25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2:14" x14ac:dyDescent="0.25">
      <c r="B67" s="10" t="s">
        <v>90</v>
      </c>
      <c r="C67" s="10"/>
      <c r="D67" s="10"/>
      <c r="E67" s="10"/>
      <c r="F67" s="10"/>
      <c r="G67" s="11">
        <f t="shared" ref="G67:M67" si="16">G61+G22</f>
        <v>120255</v>
      </c>
      <c r="H67" s="11">
        <f t="shared" si="16"/>
        <v>152506</v>
      </c>
      <c r="I67" s="11">
        <f t="shared" si="16"/>
        <v>77927</v>
      </c>
      <c r="J67" s="11">
        <f t="shared" si="16"/>
        <v>118903</v>
      </c>
      <c r="K67" s="11">
        <f t="shared" si="16"/>
        <v>96938</v>
      </c>
      <c r="L67" s="11">
        <f t="shared" si="16"/>
        <v>105963</v>
      </c>
      <c r="M67" s="11">
        <f t="shared" si="16"/>
        <v>51652</v>
      </c>
    </row>
    <row r="68" spans="2:14" x14ac:dyDescent="0.25">
      <c r="B68" s="10" t="s">
        <v>95</v>
      </c>
      <c r="C68" s="10"/>
      <c r="D68" s="10"/>
      <c r="E68" s="10"/>
      <c r="F68" s="10"/>
      <c r="G68" s="25">
        <f t="shared" ref="G68:M68" si="17">G67/G6</f>
        <v>0.23851647926629232</v>
      </c>
      <c r="H68" s="25">
        <f t="shared" si="17"/>
        <v>0.22011497487901369</v>
      </c>
      <c r="I68" s="25">
        <f t="shared" si="17"/>
        <v>0.11319770777801182</v>
      </c>
      <c r="J68" s="25">
        <f t="shared" si="17"/>
        <v>0.18023689412221239</v>
      </c>
      <c r="K68" s="25">
        <f t="shared" si="17"/>
        <v>0.16096668349318527</v>
      </c>
      <c r="L68" s="25">
        <f t="shared" si="17"/>
        <v>0.17271488507189731</v>
      </c>
      <c r="M68" s="25">
        <f t="shared" si="17"/>
        <v>0.16174762085195263</v>
      </c>
    </row>
    <row r="69" spans="2:14" x14ac:dyDescent="0.25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2:14" x14ac:dyDescent="0.25">
      <c r="B70" s="10" t="s">
        <v>76</v>
      </c>
      <c r="C70" s="10"/>
      <c r="D70" s="10"/>
      <c r="E70" s="10"/>
      <c r="F70" s="10"/>
      <c r="G70" s="11">
        <f t="shared" ref="G70:M70" si="18">G23</f>
        <v>104423</v>
      </c>
      <c r="H70" s="11">
        <f t="shared" si="18"/>
        <v>103049</v>
      </c>
      <c r="I70" s="11">
        <f t="shared" si="18"/>
        <v>75532</v>
      </c>
      <c r="J70" s="11">
        <f t="shared" si="18"/>
        <v>118903</v>
      </c>
      <c r="K70" s="11">
        <f t="shared" si="18"/>
        <v>39103</v>
      </c>
      <c r="L70" s="11">
        <f t="shared" si="18"/>
        <v>105963</v>
      </c>
      <c r="M70" s="11">
        <f t="shared" si="18"/>
        <v>32291</v>
      </c>
    </row>
    <row r="71" spans="2:14" x14ac:dyDescent="0.25">
      <c r="B71" s="10" t="s">
        <v>77</v>
      </c>
      <c r="C71" s="10"/>
      <c r="D71" s="10"/>
      <c r="E71" s="10"/>
      <c r="F71" s="10"/>
      <c r="G71" s="25">
        <f t="shared" ref="G71:M71" si="19">G70/G6</f>
        <v>0.20711493338675352</v>
      </c>
      <c r="H71" s="25">
        <f t="shared" si="19"/>
        <v>0.14873269278787379</v>
      </c>
      <c r="I71" s="25">
        <f t="shared" si="19"/>
        <v>0.10971870165525155</v>
      </c>
      <c r="J71" s="25">
        <f t="shared" si="19"/>
        <v>0.18023689412221239</v>
      </c>
      <c r="K71" s="25">
        <f t="shared" si="19"/>
        <v>6.4930989133611408E-2</v>
      </c>
      <c r="L71" s="25">
        <f t="shared" si="19"/>
        <v>0.17271488507189731</v>
      </c>
      <c r="M71" s="25">
        <f t="shared" si="19"/>
        <v>0.10111888068091077</v>
      </c>
    </row>
    <row r="72" spans="2:14" x14ac:dyDescent="0.25">
      <c r="B72" s="10"/>
      <c r="C72" s="10"/>
      <c r="D72" s="10"/>
      <c r="E72" s="10"/>
      <c r="F72" s="10"/>
      <c r="G72" s="25"/>
      <c r="H72" s="25"/>
      <c r="I72" s="25"/>
      <c r="J72" s="25"/>
      <c r="K72" s="25"/>
      <c r="L72" s="25"/>
      <c r="M72" s="25"/>
    </row>
    <row r="73" spans="2:14" ht="16.5" thickBot="1" x14ac:dyDescent="0.3">
      <c r="B73" s="1" t="s">
        <v>30</v>
      </c>
      <c r="G73" s="14">
        <v>11082</v>
      </c>
      <c r="H73" s="14">
        <v>13999</v>
      </c>
      <c r="I73" s="14">
        <v>14683</v>
      </c>
      <c r="J73" s="14">
        <v>14557</v>
      </c>
      <c r="K73" s="14">
        <v>13884</v>
      </c>
      <c r="L73" s="14">
        <v>13778</v>
      </c>
      <c r="M73" s="14">
        <v>6844</v>
      </c>
    </row>
    <row r="74" spans="2:14" x14ac:dyDescent="0.25">
      <c r="B74" s="10" t="s">
        <v>165</v>
      </c>
      <c r="C74" s="10"/>
      <c r="D74" s="10"/>
      <c r="E74" s="10"/>
      <c r="F74" s="10"/>
      <c r="G74" s="11">
        <f>G61+G73</f>
        <v>112369</v>
      </c>
      <c r="H74" s="11">
        <f t="shared" ref="H74:M74" si="20">H61+H73</f>
        <v>140979</v>
      </c>
      <c r="I74" s="11">
        <f t="shared" si="20"/>
        <v>67820</v>
      </c>
      <c r="J74" s="11">
        <f t="shared" si="20"/>
        <v>108595</v>
      </c>
      <c r="K74" s="11">
        <f t="shared" si="20"/>
        <v>86387</v>
      </c>
      <c r="L74" s="11">
        <f t="shared" si="20"/>
        <v>96259</v>
      </c>
      <c r="M74" s="11">
        <f t="shared" si="20"/>
        <v>46478</v>
      </c>
    </row>
    <row r="75" spans="2:14" x14ac:dyDescent="0.25">
      <c r="B75" s="10" t="s">
        <v>167</v>
      </c>
      <c r="C75" s="10"/>
      <c r="D75" s="10"/>
      <c r="E75" s="10"/>
      <c r="F75" s="10"/>
      <c r="G75" s="25">
        <f>G74/G6</f>
        <v>0.22287520900315166</v>
      </c>
      <c r="H75" s="25">
        <f t="shared" ref="H75:M75" si="21">H74/H6</f>
        <v>0.20347782410835294</v>
      </c>
      <c r="I75" s="25">
        <f t="shared" si="21"/>
        <v>9.8516156678747552E-2</v>
      </c>
      <c r="J75" s="25">
        <f t="shared" si="21"/>
        <v>0.16461170464329458</v>
      </c>
      <c r="K75" s="25">
        <f t="shared" si="21"/>
        <v>0.14344662451180956</v>
      </c>
      <c r="L75" s="25">
        <f t="shared" si="21"/>
        <v>0.15689780510306203</v>
      </c>
      <c r="M75" s="25">
        <f t="shared" si="21"/>
        <v>0.14554530167190147</v>
      </c>
    </row>
    <row r="78" spans="2:14" ht="26.25" x14ac:dyDescent="0.4">
      <c r="B78" s="2" t="s">
        <v>97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80" spans="2:14" ht="16.5" thickBot="1" x14ac:dyDescent="0.3">
      <c r="B80" s="5" t="s">
        <v>1</v>
      </c>
      <c r="G80" s="28">
        <v>2020</v>
      </c>
      <c r="H80" s="28">
        <v>2021</v>
      </c>
      <c r="I80" s="28">
        <v>2022</v>
      </c>
      <c r="J80" s="28">
        <v>2023</v>
      </c>
      <c r="K80" s="28">
        <v>2024</v>
      </c>
      <c r="L80" s="28">
        <v>2025</v>
      </c>
      <c r="M80" s="29" t="s">
        <v>14</v>
      </c>
    </row>
    <row r="82" spans="2:13" x14ac:dyDescent="0.25">
      <c r="B82" s="1" t="s">
        <v>39</v>
      </c>
      <c r="G82" s="17">
        <f>'Historical Financials'!G57</f>
        <v>20716</v>
      </c>
      <c r="H82" s="17">
        <f>'Historical Financials'!H57</f>
        <v>-44281</v>
      </c>
      <c r="I82" s="17">
        <f>'Historical Financials'!I57</f>
        <v>-56307</v>
      </c>
      <c r="J82" s="17">
        <f>'Historical Financials'!J57</f>
        <v>24841</v>
      </c>
      <c r="K82" s="17">
        <f>'Historical Financials'!K57</f>
        <v>-9111</v>
      </c>
      <c r="L82" s="17">
        <f>'Historical Financials'!L57</f>
        <v>-31585</v>
      </c>
      <c r="M82" s="17">
        <f>'Historical Financials'!M57</f>
        <v>-3893</v>
      </c>
    </row>
    <row r="83" spans="2:13" x14ac:dyDescent="0.25">
      <c r="B83" s="1" t="s">
        <v>40</v>
      </c>
      <c r="G83" s="17">
        <f>'Historical Financials'!G58</f>
        <v>88413</v>
      </c>
      <c r="H83" s="17">
        <f>'Historical Financials'!H58</f>
        <v>21553</v>
      </c>
      <c r="I83" s="17">
        <f>'Historical Financials'!I58</f>
        <v>12312</v>
      </c>
      <c r="J83" s="17">
        <f>'Historical Financials'!J58</f>
        <v>88092</v>
      </c>
      <c r="K83" s="17">
        <f>'Historical Financials'!K58</f>
        <v>46899</v>
      </c>
      <c r="L83" s="17">
        <f>'Historical Financials'!L58</f>
        <v>46220</v>
      </c>
      <c r="M83" s="17">
        <f>'Historical Financials'!M58</f>
        <v>44254</v>
      </c>
    </row>
    <row r="84" spans="2:13" x14ac:dyDescent="0.25">
      <c r="B84" s="1" t="s">
        <v>41</v>
      </c>
      <c r="G84" s="17">
        <f>'Historical Financials'!G60</f>
        <v>-9433</v>
      </c>
      <c r="H84" s="17">
        <f>'Historical Financials'!H60</f>
        <v>-15233</v>
      </c>
      <c r="I84" s="17">
        <f>'Historical Financials'!I60</f>
        <v>-13590</v>
      </c>
      <c r="J84" s="17">
        <f>'Historical Financials'!J60</f>
        <v>-5934</v>
      </c>
      <c r="K84" s="17">
        <f>'Historical Financials'!K60</f>
        <v>-6804</v>
      </c>
      <c r="L84" s="17">
        <f>'Historical Financials'!L60</f>
        <v>-12321</v>
      </c>
      <c r="M84" s="17">
        <f>'Historical Financials'!M60</f>
        <v>-9640</v>
      </c>
    </row>
    <row r="85" spans="2:13" x14ac:dyDescent="0.25">
      <c r="G85" s="17"/>
      <c r="H85" s="17"/>
      <c r="I85" s="17"/>
      <c r="J85" s="17"/>
      <c r="K85" s="17"/>
      <c r="L85" s="17"/>
      <c r="M85" s="17"/>
    </row>
    <row r="86" spans="2:13" x14ac:dyDescent="0.25">
      <c r="B86" s="10" t="s">
        <v>42</v>
      </c>
      <c r="C86" s="10"/>
      <c r="D86" s="10"/>
      <c r="E86" s="10"/>
      <c r="F86" s="10"/>
      <c r="G86" s="11" cm="1">
        <f t="array" ref="G86:M86">'Historical Financials'!G61:M61</f>
        <v>78980</v>
      </c>
      <c r="H86" s="11">
        <v>6320</v>
      </c>
      <c r="I86" s="11">
        <v>-1278</v>
      </c>
      <c r="J86" s="11">
        <v>82158</v>
      </c>
      <c r="K86" s="11">
        <v>40095</v>
      </c>
      <c r="L86" s="11">
        <v>33899</v>
      </c>
      <c r="M86" s="11">
        <v>34614</v>
      </c>
    </row>
    <row r="87" spans="2:13" x14ac:dyDescent="0.25">
      <c r="B87" s="1" t="s">
        <v>108</v>
      </c>
      <c r="G87" s="26">
        <f>G86/323180</f>
        <v>0.24438393464942137</v>
      </c>
      <c r="H87" s="26">
        <f t="shared" ref="H87:M87" si="22">H86/323180</f>
        <v>1.9555665573364689E-2</v>
      </c>
      <c r="I87" s="26">
        <f t="shared" si="22"/>
        <v>-3.954452627018999E-3</v>
      </c>
      <c r="J87" s="26">
        <f t="shared" si="22"/>
        <v>0.25421746395197725</v>
      </c>
      <c r="K87" s="26">
        <f t="shared" si="22"/>
        <v>0.12406398910823689</v>
      </c>
      <c r="L87" s="26">
        <f t="shared" si="22"/>
        <v>0.10489201064422303</v>
      </c>
      <c r="M87" s="26">
        <f t="shared" si="22"/>
        <v>0.10710440002475401</v>
      </c>
    </row>
    <row r="88" spans="2:13" x14ac:dyDescent="0.25">
      <c r="B88" s="1" t="s">
        <v>107</v>
      </c>
      <c r="G88" s="26">
        <f>G86/824260</f>
        <v>9.5819280324169559E-2</v>
      </c>
      <c r="H88" s="26">
        <f t="shared" ref="H88:M88" si="23">H86/824260</f>
        <v>7.6674835610123018E-3</v>
      </c>
      <c r="I88" s="26">
        <f t="shared" si="23"/>
        <v>-1.5504816441414117E-3</v>
      </c>
      <c r="J88" s="26">
        <f t="shared" si="23"/>
        <v>9.9674859874311503E-2</v>
      </c>
      <c r="K88" s="26">
        <f t="shared" si="23"/>
        <v>4.8643631863732315E-2</v>
      </c>
      <c r="L88" s="26">
        <f t="shared" si="23"/>
        <v>4.1126586271322159E-2</v>
      </c>
      <c r="M88" s="26">
        <f t="shared" si="23"/>
        <v>4.1994031009632886E-2</v>
      </c>
    </row>
    <row r="89" spans="2:13" x14ac:dyDescent="0.25">
      <c r="B89" s="1" t="s">
        <v>98</v>
      </c>
      <c r="G89" s="26">
        <f t="shared" ref="G89:M89" si="24">G86/G6</f>
        <v>0.15665071333792166</v>
      </c>
      <c r="H89" s="26">
        <f t="shared" si="24"/>
        <v>9.1217830199163737E-3</v>
      </c>
      <c r="I89" s="26">
        <f t="shared" si="24"/>
        <v>-1.8564383402453462E-3</v>
      </c>
      <c r="J89" s="26">
        <f t="shared" si="24"/>
        <v>0.12453767144052484</v>
      </c>
      <c r="K89" s="26">
        <f t="shared" si="24"/>
        <v>6.6578216743271607E-2</v>
      </c>
      <c r="L89" s="26">
        <f t="shared" si="24"/>
        <v>5.5253832838370438E-2</v>
      </c>
      <c r="M89" s="26">
        <f t="shared" si="24"/>
        <v>0.10839332742525921</v>
      </c>
    </row>
    <row r="91" spans="2:13" x14ac:dyDescent="0.25">
      <c r="B91" s="10" t="s">
        <v>99</v>
      </c>
      <c r="C91" s="10"/>
      <c r="D91" s="10"/>
      <c r="E91" s="10"/>
      <c r="F91" s="10"/>
      <c r="G91" s="11">
        <f>G83-G82+G84</f>
        <v>58264</v>
      </c>
      <c r="H91" s="11">
        <f t="shared" ref="H91:M91" si="25">H83-H82+H84</f>
        <v>50601</v>
      </c>
      <c r="I91" s="11">
        <f t="shared" si="25"/>
        <v>55029</v>
      </c>
      <c r="J91" s="11">
        <f t="shared" si="25"/>
        <v>57317</v>
      </c>
      <c r="K91" s="11">
        <f t="shared" si="25"/>
        <v>49206</v>
      </c>
      <c r="L91" s="11">
        <f t="shared" si="25"/>
        <v>65484</v>
      </c>
      <c r="M91" s="11">
        <f t="shared" si="25"/>
        <v>38507</v>
      </c>
    </row>
    <row r="93" spans="2:13" x14ac:dyDescent="0.25">
      <c r="B93" s="1" t="s">
        <v>101</v>
      </c>
      <c r="G93" s="26">
        <f>G86/G61</f>
        <v>0.77976443176320753</v>
      </c>
      <c r="H93" s="26">
        <f t="shared" ref="H93:M93" si="26">H86/H61</f>
        <v>4.9771617577571273E-2</v>
      </c>
      <c r="I93" s="26">
        <f t="shared" si="26"/>
        <v>-2.4051037883207557E-2</v>
      </c>
      <c r="J93" s="26">
        <f t="shared" si="26"/>
        <v>0.87366809162253556</v>
      </c>
      <c r="K93" s="26">
        <f t="shared" si="26"/>
        <v>0.55301159952001988</v>
      </c>
      <c r="L93" s="26">
        <f t="shared" si="26"/>
        <v>0.41099162231301756</v>
      </c>
      <c r="M93" s="26">
        <f t="shared" si="26"/>
        <v>0.87334107079779988</v>
      </c>
    </row>
    <row r="94" spans="2:13" x14ac:dyDescent="0.25">
      <c r="B94" s="1" t="s">
        <v>100</v>
      </c>
      <c r="G94" s="26">
        <f>G86/G67</f>
        <v>0.65677102823167433</v>
      </c>
      <c r="H94" s="26">
        <f t="shared" ref="H94:M94" si="27">H86/H67</f>
        <v>4.1440992485541554E-2</v>
      </c>
      <c r="I94" s="26">
        <f t="shared" si="27"/>
        <v>-1.6399964068936311E-2</v>
      </c>
      <c r="J94" s="26">
        <f t="shared" si="27"/>
        <v>0.69096658620892659</v>
      </c>
      <c r="K94" s="26">
        <f t="shared" si="27"/>
        <v>0.41361488786647133</v>
      </c>
      <c r="L94" s="26">
        <f t="shared" si="27"/>
        <v>0.31991355473136851</v>
      </c>
      <c r="M94" s="26">
        <f t="shared" si="27"/>
        <v>0.67013861999535351</v>
      </c>
    </row>
    <row r="96" spans="2:13" x14ac:dyDescent="0.25">
      <c r="B96" s="1" t="s">
        <v>102</v>
      </c>
      <c r="G96" s="26">
        <f>G91/G61</f>
        <v>0.57523670362435453</v>
      </c>
      <c r="H96" s="26">
        <f t="shared" ref="H96:M96" si="28">H91/H61</f>
        <v>0.39849582611434869</v>
      </c>
      <c r="I96" s="26">
        <f t="shared" si="28"/>
        <v>1.0356060748630898</v>
      </c>
      <c r="J96" s="26">
        <f t="shared" si="28"/>
        <v>0.60950892192517914</v>
      </c>
      <c r="K96" s="26">
        <f t="shared" si="28"/>
        <v>0.67867536515730387</v>
      </c>
      <c r="L96" s="26">
        <f t="shared" si="28"/>
        <v>0.79392829863847436</v>
      </c>
      <c r="M96" s="26">
        <f t="shared" si="28"/>
        <v>0.97156481808548212</v>
      </c>
    </row>
    <row r="97" spans="2:14" x14ac:dyDescent="0.25">
      <c r="B97" s="1" t="s">
        <v>103</v>
      </c>
      <c r="G97" s="26">
        <f>G91/G67</f>
        <v>0.48450376283730406</v>
      </c>
      <c r="H97" s="26">
        <f t="shared" ref="H97:M97" si="29">H91/H67</f>
        <v>0.33179678176596333</v>
      </c>
      <c r="I97" s="26">
        <f t="shared" si="29"/>
        <v>0.70616089417018491</v>
      </c>
      <c r="J97" s="26">
        <f t="shared" si="29"/>
        <v>0.48204839238707181</v>
      </c>
      <c r="K97" s="26">
        <f t="shared" si="29"/>
        <v>0.50760279766448657</v>
      </c>
      <c r="L97" s="26">
        <f t="shared" si="29"/>
        <v>0.61798929815124148</v>
      </c>
      <c r="M97" s="26">
        <f t="shared" si="29"/>
        <v>0.74550840238519323</v>
      </c>
    </row>
    <row r="99" spans="2:14" x14ac:dyDescent="0.25">
      <c r="B99" s="1" t="s">
        <v>105</v>
      </c>
      <c r="G99" s="8">
        <v>40000</v>
      </c>
      <c r="H99" s="8">
        <f>G99+5000</f>
        <v>45000</v>
      </c>
      <c r="I99" s="8">
        <f t="shared" ref="I99:M99" si="30">H99+5000</f>
        <v>50000</v>
      </c>
      <c r="J99" s="8">
        <f t="shared" si="30"/>
        <v>55000</v>
      </c>
      <c r="K99" s="8">
        <f t="shared" si="30"/>
        <v>60000</v>
      </c>
      <c r="L99" s="8">
        <f t="shared" si="30"/>
        <v>65000</v>
      </c>
      <c r="M99" s="8">
        <f t="shared" si="30"/>
        <v>70000</v>
      </c>
    </row>
    <row r="100" spans="2:14" x14ac:dyDescent="0.25">
      <c r="B100" s="1" t="s">
        <v>106</v>
      </c>
      <c r="G100" s="26">
        <f>G99/323180</f>
        <v>0.12377003527446005</v>
      </c>
      <c r="H100" s="26">
        <f t="shared" ref="H100:M100" si="31">H99/323180</f>
        <v>0.13924128968376756</v>
      </c>
      <c r="I100" s="26">
        <f t="shared" si="31"/>
        <v>0.15471254409307506</v>
      </c>
      <c r="J100" s="26">
        <f t="shared" si="31"/>
        <v>0.17018379850238258</v>
      </c>
      <c r="K100" s="26">
        <f t="shared" si="31"/>
        <v>0.18565505291169007</v>
      </c>
      <c r="L100" s="26">
        <f t="shared" si="31"/>
        <v>0.20112630732099759</v>
      </c>
      <c r="M100" s="26">
        <f t="shared" si="31"/>
        <v>0.21659756173030509</v>
      </c>
    </row>
    <row r="101" spans="2:14" x14ac:dyDescent="0.25">
      <c r="B101" s="1" t="s">
        <v>109</v>
      </c>
      <c r="G101" s="26">
        <f>G99/824260</f>
        <v>4.8528376968432291E-2</v>
      </c>
      <c r="H101" s="26">
        <f t="shared" ref="H101:M101" si="32">H99/824260</f>
        <v>5.4594424089486331E-2</v>
      </c>
      <c r="I101" s="26">
        <f t="shared" si="32"/>
        <v>6.0660471210540363E-2</v>
      </c>
      <c r="J101" s="26">
        <f t="shared" si="32"/>
        <v>6.6726518331594403E-2</v>
      </c>
      <c r="K101" s="26">
        <f t="shared" si="32"/>
        <v>7.2792565452648436E-2</v>
      </c>
      <c r="L101" s="26">
        <f t="shared" si="32"/>
        <v>7.8858612573702469E-2</v>
      </c>
      <c r="M101" s="26">
        <f t="shared" si="32"/>
        <v>8.4924659694756516E-2</v>
      </c>
    </row>
    <row r="104" spans="2:14" ht="26.25" x14ac:dyDescent="0.4">
      <c r="B104" s="2" t="s">
        <v>137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6" spans="2:14" ht="16.5" thickBot="1" x14ac:dyDescent="0.3">
      <c r="B106" s="5" t="s">
        <v>1</v>
      </c>
      <c r="G106" s="28">
        <v>2020</v>
      </c>
      <c r="H106" s="28">
        <v>2021</v>
      </c>
      <c r="I106" s="28">
        <v>2022</v>
      </c>
      <c r="J106" s="28">
        <v>2023</v>
      </c>
      <c r="K106" s="28">
        <v>2024</v>
      </c>
      <c r="L106" s="28">
        <v>2025</v>
      </c>
      <c r="M106" s="29" t="s">
        <v>14</v>
      </c>
    </row>
    <row r="108" spans="2:14" x14ac:dyDescent="0.25">
      <c r="B108" s="1" t="s">
        <v>15</v>
      </c>
      <c r="G108" s="17">
        <f>G64</f>
        <v>85455</v>
      </c>
      <c r="H108" s="17">
        <f t="shared" ref="H108:M108" si="33">H64</f>
        <v>77523</v>
      </c>
      <c r="I108" s="17">
        <f t="shared" si="33"/>
        <v>50742</v>
      </c>
      <c r="J108" s="17">
        <f t="shared" si="33"/>
        <v>94038</v>
      </c>
      <c r="K108" s="17">
        <f t="shared" si="33"/>
        <v>14668</v>
      </c>
      <c r="L108" s="17">
        <f t="shared" si="33"/>
        <v>82481</v>
      </c>
      <c r="M108" s="17">
        <f t="shared" si="33"/>
        <v>20273</v>
      </c>
    </row>
    <row r="109" spans="2:14" x14ac:dyDescent="0.25">
      <c r="B109" s="1" t="s">
        <v>93</v>
      </c>
      <c r="G109" s="17">
        <f>G61</f>
        <v>101287</v>
      </c>
      <c r="H109" s="17">
        <f t="shared" ref="H109:M109" si="34">H61</f>
        <v>126980</v>
      </c>
      <c r="I109" s="17">
        <f t="shared" si="34"/>
        <v>53137</v>
      </c>
      <c r="J109" s="17">
        <f t="shared" si="34"/>
        <v>94038</v>
      </c>
      <c r="K109" s="17">
        <f t="shared" si="34"/>
        <v>72503</v>
      </c>
      <c r="L109" s="17">
        <f t="shared" si="34"/>
        <v>82481</v>
      </c>
      <c r="M109" s="17">
        <f t="shared" si="34"/>
        <v>39634</v>
      </c>
    </row>
    <row r="111" spans="2:14" x14ac:dyDescent="0.25">
      <c r="B111" s="1" t="s">
        <v>138</v>
      </c>
      <c r="G111" s="17">
        <f>G108+G31</f>
        <v>76629</v>
      </c>
      <c r="H111" s="17">
        <f t="shared" ref="H111:M111" si="35">H108+H31</f>
        <v>67094</v>
      </c>
      <c r="I111" s="17">
        <f t="shared" si="35"/>
        <v>46249</v>
      </c>
      <c r="J111" s="17">
        <f t="shared" si="35"/>
        <v>85639</v>
      </c>
      <c r="K111" s="17">
        <f t="shared" si="35"/>
        <v>17693</v>
      </c>
      <c r="L111" s="17">
        <f t="shared" si="35"/>
        <v>73023</v>
      </c>
      <c r="M111" s="17">
        <f t="shared" si="35"/>
        <v>19594</v>
      </c>
    </row>
    <row r="112" spans="2:14" x14ac:dyDescent="0.25">
      <c r="B112" s="1" t="s">
        <v>139</v>
      </c>
      <c r="G112" s="17">
        <f>G109*(1-0.25)</f>
        <v>75965.25</v>
      </c>
      <c r="H112" s="17">
        <f t="shared" ref="H112:M112" si="36">H109*(1-0.25)</f>
        <v>95235</v>
      </c>
      <c r="I112" s="17">
        <f t="shared" si="36"/>
        <v>39852.75</v>
      </c>
      <c r="J112" s="17">
        <f t="shared" si="36"/>
        <v>70528.5</v>
      </c>
      <c r="K112" s="17">
        <f t="shared" si="36"/>
        <v>54377.25</v>
      </c>
      <c r="L112" s="17">
        <f t="shared" si="36"/>
        <v>61860.75</v>
      </c>
      <c r="M112" s="17">
        <f t="shared" si="36"/>
        <v>29725.5</v>
      </c>
    </row>
    <row r="114" spans="2:13" x14ac:dyDescent="0.25">
      <c r="B114" s="1" t="s">
        <v>140</v>
      </c>
      <c r="G114" s="17">
        <f>'BS Analysis'!G44+'BS Analysis'!G29-'BS Analysis'!G9</f>
        <v>843693</v>
      </c>
      <c r="H114" s="17">
        <f>'BS Analysis'!H44+'BS Analysis'!H29-'BS Analysis'!H9</f>
        <v>913710</v>
      </c>
      <c r="I114" s="17">
        <f>'BS Analysis'!I44+'BS Analysis'!I29-'BS Analysis'!I9</f>
        <v>1070507</v>
      </c>
      <c r="J114" s="17">
        <f>'BS Analysis'!J44+'BS Analysis'!J29-'BS Analysis'!J9</f>
        <v>1014366</v>
      </c>
      <c r="K114" s="17">
        <f>'BS Analysis'!K44+'BS Analysis'!K29-'BS Analysis'!K9</f>
        <v>954851</v>
      </c>
      <c r="L114" s="17">
        <f>'BS Analysis'!L44+'BS Analysis'!L29-'BS Analysis'!L9</f>
        <v>968870</v>
      </c>
      <c r="M114" s="17">
        <f>'BS Analysis'!M44+'BS Analysis'!M29-'BS Analysis'!M9</f>
        <v>950222</v>
      </c>
    </row>
    <row r="115" spans="2:13" x14ac:dyDescent="0.25">
      <c r="B115" s="1" t="s">
        <v>142</v>
      </c>
      <c r="G115" s="17"/>
      <c r="H115" s="17">
        <f>(H114+G114)/2</f>
        <v>878701.5</v>
      </c>
      <c r="I115" s="17">
        <f t="shared" ref="I115:M115" si="37">(I114+H114)/2</f>
        <v>992108.5</v>
      </c>
      <c r="J115" s="17">
        <f t="shared" si="37"/>
        <v>1042436.5</v>
      </c>
      <c r="K115" s="17">
        <f t="shared" si="37"/>
        <v>984608.5</v>
      </c>
      <c r="L115" s="17">
        <f t="shared" si="37"/>
        <v>961860.5</v>
      </c>
      <c r="M115" s="17">
        <f t="shared" si="37"/>
        <v>959546</v>
      </c>
    </row>
    <row r="116" spans="2:13" x14ac:dyDescent="0.25">
      <c r="D116" s="1" t="s">
        <v>143</v>
      </c>
    </row>
    <row r="117" spans="2:13" x14ac:dyDescent="0.25">
      <c r="B117" s="1" t="s">
        <v>137</v>
      </c>
      <c r="G117" s="26"/>
      <c r="H117" s="26">
        <f>H111/H115</f>
        <v>7.6355850081057108E-2</v>
      </c>
      <c r="I117" s="26">
        <f t="shared" ref="I117:M117" si="38">I111/I115</f>
        <v>4.6616877085520383E-2</v>
      </c>
      <c r="J117" s="26">
        <f t="shared" si="38"/>
        <v>8.2152725849488198E-2</v>
      </c>
      <c r="K117" s="26">
        <f t="shared" si="38"/>
        <v>1.7969578771664066E-2</v>
      </c>
      <c r="L117" s="26">
        <f t="shared" si="38"/>
        <v>7.5918493378197768E-2</v>
      </c>
      <c r="M117" s="26">
        <f t="shared" si="38"/>
        <v>2.0420073659834965E-2</v>
      </c>
    </row>
    <row r="118" spans="2:13" x14ac:dyDescent="0.25">
      <c r="B118" s="1" t="s">
        <v>141</v>
      </c>
      <c r="G118" s="26"/>
      <c r="H118" s="26">
        <f>H112/H115</f>
        <v>0.10838151522445336</v>
      </c>
      <c r="I118" s="26">
        <f t="shared" ref="I118:M118" si="39">I112/I115</f>
        <v>4.0169749578801109E-2</v>
      </c>
      <c r="J118" s="26">
        <f t="shared" si="39"/>
        <v>6.7657358505769899E-2</v>
      </c>
      <c r="K118" s="26">
        <f t="shared" si="39"/>
        <v>5.5227280690751702E-2</v>
      </c>
      <c r="L118" s="26">
        <f t="shared" si="39"/>
        <v>6.4313640075665854E-2</v>
      </c>
      <c r="M118" s="26">
        <f t="shared" si="39"/>
        <v>3.0978712849618464E-2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0997-E930-4418-B72E-B63F4E7CB50A}">
  <dimension ref="B2:M85"/>
  <sheetViews>
    <sheetView showGridLines="0" tabSelected="1" zoomScale="85" zoomScaleNormal="85" workbookViewId="0">
      <selection activeCell="Q26" sqref="Q26"/>
    </sheetView>
  </sheetViews>
  <sheetFormatPr defaultRowHeight="15.75" x14ac:dyDescent="0.25"/>
  <cols>
    <col min="1" max="3" width="9.140625" style="1"/>
    <col min="4" max="4" width="14.7109375" style="1" bestFit="1" customWidth="1"/>
    <col min="5" max="6" width="9.140625" style="1"/>
    <col min="7" max="7" width="13.28515625" style="1" bestFit="1" customWidth="1"/>
    <col min="8" max="12" width="11.42578125" style="1" bestFit="1" customWidth="1"/>
    <col min="13" max="16384" width="9.140625" style="1"/>
  </cols>
  <sheetData>
    <row r="2" spans="2:13" ht="26.25" x14ac:dyDescent="0.4"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 x14ac:dyDescent="0.25">
      <c r="B3" s="4"/>
      <c r="C3" s="4"/>
      <c r="D3" s="4"/>
      <c r="E3" s="4"/>
      <c r="F3" s="4"/>
      <c r="G3" s="4"/>
      <c r="H3" s="4"/>
      <c r="I3" s="4"/>
      <c r="J3" s="4"/>
      <c r="K3" s="4"/>
    </row>
    <row r="4" spans="2:13" ht="26.25" x14ac:dyDescent="0.4">
      <c r="B4" s="2" t="s">
        <v>168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spans="2:13" ht="16.5" thickBot="1" x14ac:dyDescent="0.3">
      <c r="B6" s="5" t="s">
        <v>1</v>
      </c>
      <c r="G6" s="6">
        <v>2025</v>
      </c>
      <c r="H6" s="34">
        <f t="shared" ref="H6" si="0">G6+1</f>
        <v>2026</v>
      </c>
      <c r="I6" s="34">
        <f t="shared" ref="I6" si="1">H6+1</f>
        <v>2027</v>
      </c>
      <c r="J6" s="34">
        <f t="shared" ref="J6" si="2">I6+1</f>
        <v>2028</v>
      </c>
      <c r="K6" s="34">
        <f t="shared" ref="K6" si="3">J6+1</f>
        <v>2029</v>
      </c>
      <c r="L6" s="34">
        <f t="shared" ref="L6" si="4">K6+1</f>
        <v>2030</v>
      </c>
    </row>
    <row r="8" spans="2:13" x14ac:dyDescent="0.25">
      <c r="B8" s="1" t="s">
        <v>3</v>
      </c>
      <c r="G8" s="8">
        <f>'IS Analysis'!L6</f>
        <v>613514</v>
      </c>
      <c r="H8" s="36">
        <v>610000</v>
      </c>
      <c r="I8" s="36">
        <f>H8*(1+0.03)</f>
        <v>628300</v>
      </c>
      <c r="J8" s="36">
        <f t="shared" ref="J8:L8" si="5">I8*(1+0.03)</f>
        <v>647149</v>
      </c>
      <c r="K8" s="36">
        <f t="shared" si="5"/>
        <v>666563.47</v>
      </c>
      <c r="L8" s="36">
        <f t="shared" si="5"/>
        <v>686560.37410000002</v>
      </c>
    </row>
    <row r="9" spans="2:13" x14ac:dyDescent="0.25">
      <c r="B9" s="1" t="s">
        <v>163</v>
      </c>
      <c r="G9" s="31">
        <f>'IS Analysis'!L62</f>
        <v>0.13444028987113579</v>
      </c>
      <c r="H9" s="37">
        <v>0.13</v>
      </c>
      <c r="I9" s="37">
        <f>H9</f>
        <v>0.13</v>
      </c>
      <c r="J9" s="37">
        <f t="shared" ref="J9:L9" si="6">I9</f>
        <v>0.13</v>
      </c>
      <c r="K9" s="37">
        <f t="shared" si="6"/>
        <v>0.13</v>
      </c>
      <c r="L9" s="37">
        <f t="shared" si="6"/>
        <v>0.13</v>
      </c>
    </row>
    <row r="10" spans="2:13" x14ac:dyDescent="0.25">
      <c r="B10" s="10" t="s">
        <v>93</v>
      </c>
      <c r="G10" s="35">
        <f>G8*G9</f>
        <v>82481</v>
      </c>
      <c r="H10" s="11">
        <f t="shared" ref="H10:L10" si="7">H8*H9</f>
        <v>79300</v>
      </c>
      <c r="I10" s="11">
        <f t="shared" si="7"/>
        <v>81679</v>
      </c>
      <c r="J10" s="11">
        <f t="shared" si="7"/>
        <v>84129.37000000001</v>
      </c>
      <c r="K10" s="11">
        <f t="shared" si="7"/>
        <v>86653.251099999994</v>
      </c>
      <c r="L10" s="11">
        <f t="shared" si="7"/>
        <v>89252.848633000001</v>
      </c>
    </row>
    <row r="12" spans="2:13" x14ac:dyDescent="0.25">
      <c r="B12" s="1" t="s">
        <v>147</v>
      </c>
      <c r="G12" s="17">
        <f>G10*8</f>
        <v>659848</v>
      </c>
      <c r="H12" s="17">
        <f t="shared" ref="H12:L12" si="8">H10*8</f>
        <v>634400</v>
      </c>
      <c r="I12" s="17">
        <f t="shared" si="8"/>
        <v>653432</v>
      </c>
      <c r="J12" s="17">
        <f t="shared" si="8"/>
        <v>673034.96000000008</v>
      </c>
      <c r="K12" s="17">
        <f t="shared" si="8"/>
        <v>693226.00879999995</v>
      </c>
      <c r="L12" s="17">
        <f t="shared" si="8"/>
        <v>714022.78906400001</v>
      </c>
    </row>
    <row r="13" spans="2:13" x14ac:dyDescent="0.25">
      <c r="B13" s="1" t="s">
        <v>148</v>
      </c>
      <c r="G13" s="17">
        <f>G10*10</f>
        <v>824810</v>
      </c>
      <c r="H13" s="17">
        <f t="shared" ref="H13:L13" si="9">H10*10</f>
        <v>793000</v>
      </c>
      <c r="I13" s="17">
        <f t="shared" si="9"/>
        <v>816790</v>
      </c>
      <c r="J13" s="17">
        <f t="shared" si="9"/>
        <v>841293.70000000007</v>
      </c>
      <c r="K13" s="17">
        <f t="shared" si="9"/>
        <v>866532.51099999994</v>
      </c>
      <c r="L13" s="17">
        <f t="shared" si="9"/>
        <v>892528.48632999999</v>
      </c>
    </row>
    <row r="14" spans="2:13" x14ac:dyDescent="0.25">
      <c r="B14" s="1" t="s">
        <v>149</v>
      </c>
      <c r="G14" s="17">
        <f>G10*12</f>
        <v>989772</v>
      </c>
      <c r="H14" s="17">
        <f t="shared" ref="H14:L14" si="10">H10*12</f>
        <v>951600</v>
      </c>
      <c r="I14" s="17">
        <f t="shared" si="10"/>
        <v>980148</v>
      </c>
      <c r="J14" s="17">
        <f t="shared" si="10"/>
        <v>1009552.4400000002</v>
      </c>
      <c r="K14" s="17">
        <f t="shared" si="10"/>
        <v>1039839.0131999999</v>
      </c>
      <c r="L14" s="17">
        <f t="shared" si="10"/>
        <v>1071034.1835960001</v>
      </c>
    </row>
    <row r="16" spans="2:13" x14ac:dyDescent="0.25">
      <c r="B16" s="10" t="s">
        <v>84</v>
      </c>
      <c r="C16" s="10"/>
      <c r="D16" s="10"/>
      <c r="E16" s="10"/>
      <c r="F16" s="10"/>
      <c r="G16" s="11">
        <v>485418</v>
      </c>
      <c r="H16" s="11">
        <f>457793-15000</f>
        <v>442793</v>
      </c>
      <c r="I16" s="11">
        <f>H16-30000</f>
        <v>412793</v>
      </c>
      <c r="J16" s="11">
        <f t="shared" ref="J16:L16" si="11">I16-30000</f>
        <v>382793</v>
      </c>
      <c r="K16" s="11">
        <f t="shared" si="11"/>
        <v>352793</v>
      </c>
      <c r="L16" s="11">
        <f t="shared" si="11"/>
        <v>322793</v>
      </c>
    </row>
    <row r="18" spans="2:12" x14ac:dyDescent="0.25">
      <c r="B18" s="1" t="s">
        <v>152</v>
      </c>
      <c r="G18" s="17">
        <f>G12-G16</f>
        <v>174430</v>
      </c>
      <c r="H18" s="17">
        <f t="shared" ref="H18:L18" si="12">H12-H16</f>
        <v>191607</v>
      </c>
      <c r="I18" s="17">
        <f t="shared" si="12"/>
        <v>240639</v>
      </c>
      <c r="J18" s="17">
        <f t="shared" si="12"/>
        <v>290241.96000000008</v>
      </c>
      <c r="K18" s="17">
        <f t="shared" si="12"/>
        <v>340433.00879999995</v>
      </c>
      <c r="L18" s="17">
        <f t="shared" si="12"/>
        <v>391229.78906400001</v>
      </c>
    </row>
    <row r="19" spans="2:12" x14ac:dyDescent="0.25">
      <c r="B19" s="1" t="s">
        <v>150</v>
      </c>
      <c r="G19" s="17">
        <f>G13-G16</f>
        <v>339392</v>
      </c>
      <c r="H19" s="17">
        <f t="shared" ref="H19:L19" si="13">H13-H16</f>
        <v>350207</v>
      </c>
      <c r="I19" s="17">
        <f t="shared" si="13"/>
        <v>403997</v>
      </c>
      <c r="J19" s="17">
        <f t="shared" si="13"/>
        <v>458500.70000000007</v>
      </c>
      <c r="K19" s="17">
        <f t="shared" si="13"/>
        <v>513739.51099999994</v>
      </c>
      <c r="L19" s="17">
        <f t="shared" si="13"/>
        <v>569735.48632999999</v>
      </c>
    </row>
    <row r="20" spans="2:12" x14ac:dyDescent="0.25">
      <c r="B20" s="1" t="s">
        <v>151</v>
      </c>
      <c r="G20" s="17">
        <f>G14-G16</f>
        <v>504354</v>
      </c>
      <c r="H20" s="17">
        <f t="shared" ref="H20:L20" si="14">H14-H16</f>
        <v>508807</v>
      </c>
      <c r="I20" s="17">
        <f t="shared" si="14"/>
        <v>567355</v>
      </c>
      <c r="J20" s="17">
        <f t="shared" si="14"/>
        <v>626759.44000000018</v>
      </c>
      <c r="K20" s="17">
        <f t="shared" si="14"/>
        <v>687046.01319999993</v>
      </c>
      <c r="L20" s="17">
        <f t="shared" si="14"/>
        <v>748241.18359600008</v>
      </c>
    </row>
    <row r="22" spans="2:12" x14ac:dyDescent="0.25">
      <c r="B22" s="1" t="s">
        <v>153</v>
      </c>
      <c r="G22" s="17">
        <v>120847</v>
      </c>
      <c r="H22" s="17">
        <f>G22*(1+0.01)</f>
        <v>122055.47</v>
      </c>
      <c r="I22" s="17">
        <f t="shared" ref="I22:L22" si="15">H22*(1+0.01)</f>
        <v>123276.02470000001</v>
      </c>
      <c r="J22" s="17">
        <f t="shared" si="15"/>
        <v>124508.78494700001</v>
      </c>
      <c r="K22" s="17">
        <f t="shared" si="15"/>
        <v>125753.87279647001</v>
      </c>
      <c r="L22" s="17">
        <f t="shared" si="15"/>
        <v>127011.4115244347</v>
      </c>
    </row>
    <row r="24" spans="2:12" x14ac:dyDescent="0.25">
      <c r="B24" s="10" t="s">
        <v>154</v>
      </c>
      <c r="C24" s="10"/>
      <c r="D24" s="10"/>
      <c r="E24" s="10"/>
      <c r="F24" s="10"/>
      <c r="G24" s="41">
        <f>G18/G$22</f>
        <v>1.4433953676963434</v>
      </c>
      <c r="H24" s="41">
        <f t="shared" ref="H24:L24" si="16">H18/H$22</f>
        <v>1.5698354199119466</v>
      </c>
      <c r="I24" s="41">
        <f t="shared" si="16"/>
        <v>1.9520340681459367</v>
      </c>
      <c r="J24" s="41">
        <f t="shared" si="16"/>
        <v>2.3310962364908483</v>
      </c>
      <c r="K24" s="41">
        <f t="shared" si="16"/>
        <v>2.707137372627749</v>
      </c>
      <c r="L24" s="41">
        <f t="shared" si="16"/>
        <v>3.0802727437505446</v>
      </c>
    </row>
    <row r="25" spans="2:12" x14ac:dyDescent="0.25">
      <c r="B25" s="10" t="s">
        <v>155</v>
      </c>
      <c r="C25" s="10"/>
      <c r="D25" s="10"/>
      <c r="E25" s="10"/>
      <c r="F25" s="10"/>
      <c r="G25" s="41">
        <f t="shared" ref="G25:L25" si="17">G19/G$22</f>
        <v>2.8084437346396682</v>
      </c>
      <c r="H25" s="41">
        <f t="shared" si="17"/>
        <v>2.8692446147640904</v>
      </c>
      <c r="I25" s="41">
        <f t="shared" si="17"/>
        <v>3.2771741381436676</v>
      </c>
      <c r="J25" s="41">
        <f t="shared" si="17"/>
        <v>3.6824767039142765</v>
      </c>
      <c r="K25" s="41">
        <f t="shared" si="17"/>
        <v>4.0852778493070865</v>
      </c>
      <c r="L25" s="41">
        <f t="shared" si="17"/>
        <v>4.4857031308591759</v>
      </c>
    </row>
    <row r="26" spans="2:12" x14ac:dyDescent="0.25">
      <c r="B26" s="10" t="s">
        <v>156</v>
      </c>
      <c r="C26" s="10"/>
      <c r="D26" s="10"/>
      <c r="E26" s="10"/>
      <c r="F26" s="10"/>
      <c r="G26" s="41">
        <f t="shared" ref="G26:L26" si="18">G20/G$22</f>
        <v>4.1734921015829931</v>
      </c>
      <c r="H26" s="41">
        <f t="shared" si="18"/>
        <v>4.1686538096162344</v>
      </c>
      <c r="I26" s="41">
        <f t="shared" si="18"/>
        <v>4.6023142081413981</v>
      </c>
      <c r="J26" s="41">
        <f t="shared" si="18"/>
        <v>5.033857171337706</v>
      </c>
      <c r="K26" s="41">
        <f t="shared" si="18"/>
        <v>5.4634183259864244</v>
      </c>
      <c r="L26" s="41">
        <f t="shared" si="18"/>
        <v>5.8911335179678082</v>
      </c>
    </row>
    <row r="28" spans="2:12" x14ac:dyDescent="0.25">
      <c r="B28" s="39" t="s">
        <v>160</v>
      </c>
      <c r="C28" s="39"/>
      <c r="D28" s="39"/>
      <c r="E28" s="39"/>
      <c r="F28" s="39"/>
      <c r="G28" s="40">
        <f>(G24*0.2)+(G25*0.5)+(G26*0.3)</f>
        <v>2.9449485713340007</v>
      </c>
      <c r="H28" s="40">
        <f t="shared" ref="H28:L28" si="19">(H24*0.2)+(H25*0.5)+(H26*0.3)</f>
        <v>2.999185534249305</v>
      </c>
      <c r="I28" s="40">
        <f t="shared" si="19"/>
        <v>3.4096881451434409</v>
      </c>
      <c r="J28" s="40">
        <f t="shared" si="19"/>
        <v>3.8176147506566194</v>
      </c>
      <c r="K28" s="40">
        <f t="shared" si="19"/>
        <v>4.2230918969750206</v>
      </c>
      <c r="L28" s="40">
        <f t="shared" si="19"/>
        <v>4.6262461695700399</v>
      </c>
    </row>
    <row r="30" spans="2:12" x14ac:dyDescent="0.25">
      <c r="B30" s="10" t="s">
        <v>157</v>
      </c>
      <c r="C30" s="10"/>
      <c r="D30" s="10"/>
      <c r="E30" s="10"/>
      <c r="F30" s="10"/>
      <c r="G30" s="41">
        <v>2.9449485713340007</v>
      </c>
      <c r="H30" s="41">
        <v>1.4698808664617817</v>
      </c>
      <c r="I30" s="41">
        <v>1.8501002166076497</v>
      </c>
      <c r="J30" s="41">
        <v>2.2271438928428919</v>
      </c>
      <c r="K30" s="41">
        <v>2.601126566729338</v>
      </c>
      <c r="L30" s="41">
        <v>2.9721627139729576</v>
      </c>
    </row>
    <row r="31" spans="2:12" x14ac:dyDescent="0.25">
      <c r="B31" s="10" t="s">
        <v>158</v>
      </c>
      <c r="C31" s="10"/>
      <c r="D31" s="10"/>
      <c r="E31" s="10"/>
      <c r="F31" s="10"/>
      <c r="G31" s="41">
        <v>2.9449485713340007</v>
      </c>
      <c r="H31" s="41">
        <v>2.999185534249305</v>
      </c>
      <c r="I31" s="41">
        <v>3.4096881451434409</v>
      </c>
      <c r="J31" s="41">
        <v>3.8176147506566194</v>
      </c>
      <c r="K31" s="41">
        <v>4.2230918969750206</v>
      </c>
      <c r="L31" s="41">
        <v>4.6262461695700399</v>
      </c>
    </row>
    <row r="32" spans="2:12" x14ac:dyDescent="0.25">
      <c r="B32" s="10" t="s">
        <v>159</v>
      </c>
      <c r="C32" s="10"/>
      <c r="D32" s="10"/>
      <c r="E32" s="10"/>
      <c r="F32" s="10"/>
      <c r="G32" s="41">
        <v>2.9449485713340007</v>
      </c>
      <c r="H32" s="41">
        <v>4.5284902020368278</v>
      </c>
      <c r="I32" s="41">
        <v>4.9692760736792314</v>
      </c>
      <c r="J32" s="41">
        <v>5.4080856084703459</v>
      </c>
      <c r="K32" s="41">
        <v>5.8450572272207024</v>
      </c>
      <c r="L32" s="41">
        <v>6.2803296251671217</v>
      </c>
    </row>
    <row r="34" spans="2:13" x14ac:dyDescent="0.25">
      <c r="B34" s="10" t="s">
        <v>161</v>
      </c>
      <c r="C34" s="10"/>
      <c r="D34" s="10"/>
      <c r="E34" s="10"/>
      <c r="F34" s="10"/>
      <c r="G34" s="41">
        <f>(G30*0.25)+(G31*0.5)+(G32*0.25)</f>
        <v>2.9449485713340007</v>
      </c>
      <c r="H34" s="41">
        <f t="shared" ref="H34:L34" si="20">(H30*0.25)+(H31*0.5)+(H32*0.25)</f>
        <v>2.999185534249305</v>
      </c>
      <c r="I34" s="41">
        <f t="shared" si="20"/>
        <v>3.4096881451434404</v>
      </c>
      <c r="J34" s="41">
        <f t="shared" si="20"/>
        <v>3.8176147506566189</v>
      </c>
      <c r="K34" s="41">
        <f t="shared" si="20"/>
        <v>4.2230918969750206</v>
      </c>
      <c r="L34" s="41">
        <f t="shared" si="20"/>
        <v>4.6262461695700399</v>
      </c>
    </row>
    <row r="35" spans="2:13" x14ac:dyDescent="0.25">
      <c r="B35" s="1" t="s">
        <v>162</v>
      </c>
      <c r="G35" s="38">
        <v>2.6</v>
      </c>
      <c r="H35" s="38">
        <v>2.6</v>
      </c>
      <c r="I35" s="38">
        <v>2.6</v>
      </c>
      <c r="J35" s="38">
        <v>2.6</v>
      </c>
      <c r="K35" s="38">
        <v>2.6</v>
      </c>
      <c r="L35" s="38">
        <v>2.6</v>
      </c>
    </row>
    <row r="36" spans="2:13" x14ac:dyDescent="0.25">
      <c r="B36" s="10" t="s">
        <v>164</v>
      </c>
      <c r="C36" s="10"/>
      <c r="D36" s="10"/>
      <c r="E36" s="10"/>
      <c r="F36" s="10"/>
      <c r="G36" s="25">
        <f t="shared" ref="G36:L36" si="21">(G34/G35)-1</f>
        <v>0.13267252743615399</v>
      </c>
      <c r="H36" s="25">
        <f t="shared" si="21"/>
        <v>0.15353289778819423</v>
      </c>
      <c r="I36" s="25">
        <f t="shared" si="21"/>
        <v>0.31141851736286164</v>
      </c>
      <c r="J36" s="25">
        <f t="shared" si="21"/>
        <v>0.46831336563716097</v>
      </c>
      <c r="K36" s="25">
        <f t="shared" si="21"/>
        <v>0.62426611422116163</v>
      </c>
      <c r="L36" s="25">
        <f t="shared" si="21"/>
        <v>0.7793254498346307</v>
      </c>
    </row>
    <row r="39" spans="2:13" ht="26.25" x14ac:dyDescent="0.4">
      <c r="B39" s="2" t="s">
        <v>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3" ht="26.25" x14ac:dyDescent="0.4">
      <c r="B41" s="2" t="s">
        <v>208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3" spans="2:13" ht="16.5" thickBot="1" x14ac:dyDescent="0.3">
      <c r="B43" s="5" t="s">
        <v>1</v>
      </c>
      <c r="G43" s="6">
        <v>2025</v>
      </c>
      <c r="H43" s="34">
        <f t="shared" ref="H43" si="22">G43+1</f>
        <v>2026</v>
      </c>
      <c r="I43" s="34">
        <f t="shared" ref="I43" si="23">H43+1</f>
        <v>2027</v>
      </c>
      <c r="J43" s="34">
        <f t="shared" ref="J43" si="24">I43+1</f>
        <v>2028</v>
      </c>
      <c r="K43" s="34">
        <f t="shared" ref="K43" si="25">J43+1</f>
        <v>2029</v>
      </c>
      <c r="L43" s="34">
        <f t="shared" ref="L43" si="26">K43+1</f>
        <v>2030</v>
      </c>
    </row>
    <row r="45" spans="2:13" x14ac:dyDescent="0.25">
      <c r="B45" s="1" t="s">
        <v>3</v>
      </c>
      <c r="G45" s="8">
        <f>'IS Analysis'!L6</f>
        <v>613514</v>
      </c>
      <c r="H45" s="36">
        <v>610000</v>
      </c>
      <c r="I45" s="36">
        <f>H45*(1+0.03)</f>
        <v>628300</v>
      </c>
      <c r="J45" s="36">
        <f t="shared" ref="J45" si="27">I45*(1+0.03)</f>
        <v>647149</v>
      </c>
      <c r="K45" s="36">
        <f t="shared" ref="K45" si="28">J45*(1+0.03)</f>
        <v>666563.47</v>
      </c>
      <c r="L45" s="36">
        <f t="shared" ref="L45" si="29">K45*(1+0.03)</f>
        <v>686560.37410000002</v>
      </c>
    </row>
    <row r="46" spans="2:13" x14ac:dyDescent="0.25">
      <c r="B46" s="1" t="s">
        <v>206</v>
      </c>
      <c r="G46" s="31">
        <f>'IS Analysis'!L75</f>
        <v>0.15689780510306203</v>
      </c>
      <c r="H46" s="37">
        <v>0.18</v>
      </c>
      <c r="I46" s="37">
        <f>H46</f>
        <v>0.18</v>
      </c>
      <c r="J46" s="37">
        <f t="shared" ref="J46" si="30">I46</f>
        <v>0.18</v>
      </c>
      <c r="K46" s="37">
        <f t="shared" ref="K46" si="31">J46</f>
        <v>0.18</v>
      </c>
      <c r="L46" s="37">
        <f t="shared" ref="L46" si="32">K46</f>
        <v>0.18</v>
      </c>
    </row>
    <row r="47" spans="2:13" x14ac:dyDescent="0.25">
      <c r="B47" s="10" t="s">
        <v>169</v>
      </c>
      <c r="G47" s="35">
        <f>G45*G46</f>
        <v>96259</v>
      </c>
      <c r="H47" s="11">
        <f t="shared" ref="H47:L47" si="33">H45*H46</f>
        <v>109800</v>
      </c>
      <c r="I47" s="11">
        <f t="shared" si="33"/>
        <v>113094</v>
      </c>
      <c r="J47" s="11">
        <f t="shared" si="33"/>
        <v>116486.81999999999</v>
      </c>
      <c r="K47" s="11">
        <f t="shared" si="33"/>
        <v>119981.42459999998</v>
      </c>
      <c r="L47" s="11">
        <f t="shared" si="33"/>
        <v>123580.867338</v>
      </c>
    </row>
    <row r="49" spans="2:12" x14ac:dyDescent="0.25">
      <c r="B49" s="1" t="s">
        <v>173</v>
      </c>
      <c r="G49" s="17">
        <f>G47*7</f>
        <v>673813</v>
      </c>
      <c r="H49" s="17">
        <f t="shared" ref="H49:L49" si="34">H47*7</f>
        <v>768600</v>
      </c>
      <c r="I49" s="17">
        <f t="shared" si="34"/>
        <v>791658</v>
      </c>
      <c r="J49" s="17">
        <f t="shared" si="34"/>
        <v>815407.74</v>
      </c>
      <c r="K49" s="17">
        <f t="shared" si="34"/>
        <v>839869.97219999984</v>
      </c>
      <c r="L49" s="17">
        <f t="shared" si="34"/>
        <v>865066.07136599999</v>
      </c>
    </row>
    <row r="50" spans="2:12" x14ac:dyDescent="0.25">
      <c r="B50" s="1" t="s">
        <v>176</v>
      </c>
      <c r="G50" s="17">
        <f>G47*9</f>
        <v>866331</v>
      </c>
      <c r="H50" s="17">
        <f t="shared" ref="H50:L50" si="35">H47*9</f>
        <v>988200</v>
      </c>
      <c r="I50" s="17">
        <f t="shared" si="35"/>
        <v>1017846</v>
      </c>
      <c r="J50" s="17">
        <f t="shared" si="35"/>
        <v>1048381.3799999999</v>
      </c>
      <c r="K50" s="17">
        <f t="shared" si="35"/>
        <v>1079832.8213999998</v>
      </c>
      <c r="L50" s="17">
        <f t="shared" si="35"/>
        <v>1112227.806042</v>
      </c>
    </row>
    <row r="51" spans="2:12" x14ac:dyDescent="0.25">
      <c r="B51" s="1" t="s">
        <v>177</v>
      </c>
      <c r="G51" s="17">
        <f>G47*11</f>
        <v>1058849</v>
      </c>
      <c r="H51" s="17">
        <f t="shared" ref="H51:L51" si="36">H47*11</f>
        <v>1207800</v>
      </c>
      <c r="I51" s="17">
        <f t="shared" si="36"/>
        <v>1244034</v>
      </c>
      <c r="J51" s="17">
        <f t="shared" si="36"/>
        <v>1281355.02</v>
      </c>
      <c r="K51" s="17">
        <f t="shared" si="36"/>
        <v>1319795.6705999998</v>
      </c>
      <c r="L51" s="17">
        <f t="shared" si="36"/>
        <v>1359389.5407179999</v>
      </c>
    </row>
    <row r="53" spans="2:12" x14ac:dyDescent="0.25">
      <c r="B53" s="10" t="s">
        <v>84</v>
      </c>
      <c r="C53" s="10"/>
      <c r="D53" s="10"/>
      <c r="E53" s="10"/>
      <c r="F53" s="10"/>
      <c r="G53" s="11">
        <v>485418</v>
      </c>
      <c r="H53" s="11">
        <f>457793-15000</f>
        <v>442793</v>
      </c>
      <c r="I53" s="11">
        <f>H53-30000</f>
        <v>412793</v>
      </c>
      <c r="J53" s="11">
        <f t="shared" ref="J53" si="37">I53-30000</f>
        <v>382793</v>
      </c>
      <c r="K53" s="11">
        <f t="shared" ref="K53" si="38">J53-30000</f>
        <v>352793</v>
      </c>
      <c r="L53" s="11">
        <f t="shared" ref="L53" si="39">K53-30000</f>
        <v>322793</v>
      </c>
    </row>
    <row r="55" spans="2:12" x14ac:dyDescent="0.25">
      <c r="B55" s="1" t="s">
        <v>174</v>
      </c>
      <c r="G55" s="17">
        <f>G49-G53</f>
        <v>188395</v>
      </c>
      <c r="H55" s="17">
        <f t="shared" ref="H55:L55" si="40">H49-H53</f>
        <v>325807</v>
      </c>
      <c r="I55" s="17">
        <f t="shared" si="40"/>
        <v>378865</v>
      </c>
      <c r="J55" s="17">
        <f t="shared" si="40"/>
        <v>432614.74</v>
      </c>
      <c r="K55" s="17">
        <f t="shared" si="40"/>
        <v>487076.97219999984</v>
      </c>
      <c r="L55" s="17">
        <f t="shared" si="40"/>
        <v>542273.07136599999</v>
      </c>
    </row>
    <row r="56" spans="2:12" x14ac:dyDescent="0.25">
      <c r="B56" s="1" t="s">
        <v>178</v>
      </c>
      <c r="G56" s="17">
        <f>G50-G53</f>
        <v>380913</v>
      </c>
      <c r="H56" s="17">
        <f t="shared" ref="H56:L56" si="41">H50-H53</f>
        <v>545407</v>
      </c>
      <c r="I56" s="17">
        <f t="shared" si="41"/>
        <v>605053</v>
      </c>
      <c r="J56" s="17">
        <f t="shared" si="41"/>
        <v>665588.37999999989</v>
      </c>
      <c r="K56" s="17">
        <f t="shared" si="41"/>
        <v>727039.82139999978</v>
      </c>
      <c r="L56" s="17">
        <f t="shared" si="41"/>
        <v>789434.80604199995</v>
      </c>
    </row>
    <row r="57" spans="2:12" x14ac:dyDescent="0.25">
      <c r="B57" s="1" t="s">
        <v>179</v>
      </c>
      <c r="G57" s="17">
        <f>G51-G53</f>
        <v>573431</v>
      </c>
      <c r="H57" s="17">
        <f t="shared" ref="H57:L57" si="42">H51-H53</f>
        <v>765007</v>
      </c>
      <c r="I57" s="17">
        <f t="shared" si="42"/>
        <v>831241</v>
      </c>
      <c r="J57" s="17">
        <f t="shared" si="42"/>
        <v>898562.02</v>
      </c>
      <c r="K57" s="17">
        <f t="shared" si="42"/>
        <v>967002.67059999984</v>
      </c>
      <c r="L57" s="17">
        <f t="shared" si="42"/>
        <v>1036596.5407179999</v>
      </c>
    </row>
    <row r="59" spans="2:12" x14ac:dyDescent="0.25">
      <c r="B59" s="1" t="s">
        <v>153</v>
      </c>
      <c r="G59" s="17">
        <v>120847</v>
      </c>
      <c r="H59" s="17">
        <f>G59*(1+0.01)</f>
        <v>122055.47</v>
      </c>
      <c r="I59" s="17">
        <f t="shared" ref="I59" si="43">H59*(1+0.01)</f>
        <v>123276.02470000001</v>
      </c>
      <c r="J59" s="17">
        <f t="shared" ref="J59" si="44">I59*(1+0.01)</f>
        <v>124508.78494700001</v>
      </c>
      <c r="K59" s="17">
        <f t="shared" ref="K59" si="45">J59*(1+0.01)</f>
        <v>125753.87279647001</v>
      </c>
      <c r="L59" s="17">
        <f t="shared" ref="L59" si="46">K59*(1+0.01)</f>
        <v>127011.4115244347</v>
      </c>
    </row>
    <row r="61" spans="2:12" x14ac:dyDescent="0.25">
      <c r="B61" s="10" t="s">
        <v>175</v>
      </c>
      <c r="C61" s="10"/>
      <c r="D61" s="10"/>
      <c r="E61" s="10"/>
      <c r="F61" s="10"/>
      <c r="G61" s="41">
        <f>G55/G$22</f>
        <v>1.5589547113292015</v>
      </c>
      <c r="H61" s="41">
        <f t="shared" ref="H61:L61" si="47">H55/H$22</f>
        <v>2.6693355078637606</v>
      </c>
      <c r="I61" s="41">
        <f t="shared" si="47"/>
        <v>3.0733064350670936</v>
      </c>
      <c r="J61" s="41">
        <f t="shared" si="47"/>
        <v>3.4745720166183638</v>
      </c>
      <c r="K61" s="41">
        <f t="shared" si="47"/>
        <v>3.8732562375102648</v>
      </c>
      <c r="L61" s="41">
        <f t="shared" si="47"/>
        <v>4.269483071304002</v>
      </c>
    </row>
    <row r="62" spans="2:12" x14ac:dyDescent="0.25">
      <c r="B62" s="10" t="s">
        <v>180</v>
      </c>
      <c r="C62" s="10"/>
      <c r="D62" s="10"/>
      <c r="E62" s="10"/>
      <c r="F62" s="10"/>
      <c r="G62" s="41">
        <f t="shared" ref="G62:L62" si="48">G56/G$22</f>
        <v>3.1520269431595325</v>
      </c>
      <c r="H62" s="41">
        <f t="shared" si="48"/>
        <v>4.4685174699667289</v>
      </c>
      <c r="I62" s="41">
        <f t="shared" si="48"/>
        <v>4.9081157627562595</v>
      </c>
      <c r="J62" s="41">
        <f t="shared" si="48"/>
        <v>5.3457142022815711</v>
      </c>
      <c r="K62" s="41">
        <f t="shared" si="48"/>
        <v>5.7814507436816553</v>
      </c>
      <c r="L62" s="41">
        <f t="shared" si="48"/>
        <v>6.2154636073005687</v>
      </c>
    </row>
    <row r="63" spans="2:12" x14ac:dyDescent="0.25">
      <c r="B63" s="10" t="s">
        <v>181</v>
      </c>
      <c r="C63" s="10"/>
      <c r="D63" s="10"/>
      <c r="E63" s="10"/>
      <c r="F63" s="10"/>
      <c r="G63" s="41">
        <f t="shared" ref="G63:L63" si="49">G57/G$22</f>
        <v>4.7450991749898632</v>
      </c>
      <c r="H63" s="41">
        <f t="shared" si="49"/>
        <v>6.2676994320696977</v>
      </c>
      <c r="I63" s="41">
        <f t="shared" si="49"/>
        <v>6.742925090445425</v>
      </c>
      <c r="J63" s="41">
        <f t="shared" si="49"/>
        <v>7.2168563879447811</v>
      </c>
      <c r="K63" s="41">
        <f t="shared" si="49"/>
        <v>7.6896452498530463</v>
      </c>
      <c r="L63" s="41">
        <f t="shared" si="49"/>
        <v>8.1614441432971354</v>
      </c>
    </row>
    <row r="65" spans="2:13" x14ac:dyDescent="0.25">
      <c r="B65" s="39" t="s">
        <v>160</v>
      </c>
      <c r="C65" s="39"/>
      <c r="D65" s="39"/>
      <c r="E65" s="39"/>
      <c r="F65" s="39"/>
      <c r="G65" s="40">
        <f>(G61*0.2)+(G62*0.5)+(G63*0.3)</f>
        <v>3.3113341663425655</v>
      </c>
      <c r="H65" s="40">
        <f t="shared" ref="H65:L65" si="50">(H61*0.2)+(H62*0.5)+(H63*0.3)</f>
        <v>4.6484356661770256</v>
      </c>
      <c r="I65" s="40">
        <f t="shared" si="50"/>
        <v>5.0915966955251761</v>
      </c>
      <c r="J65" s="40">
        <f t="shared" si="50"/>
        <v>5.5328284208478928</v>
      </c>
      <c r="K65" s="40">
        <f t="shared" si="50"/>
        <v>5.9722701942987939</v>
      </c>
      <c r="L65" s="40">
        <f t="shared" si="50"/>
        <v>6.410061660900225</v>
      </c>
    </row>
    <row r="67" spans="2:13" x14ac:dyDescent="0.25">
      <c r="B67" s="10" t="s">
        <v>170</v>
      </c>
      <c r="C67" s="10"/>
      <c r="E67" s="10"/>
      <c r="F67" s="10"/>
      <c r="G67" s="41">
        <v>3.3113341663425655</v>
      </c>
      <c r="H67" s="41">
        <v>2.349480936823233</v>
      </c>
      <c r="I67" s="41">
        <v>2.7471181101445752</v>
      </c>
      <c r="J67" s="41">
        <v>3.141924516944905</v>
      </c>
      <c r="K67" s="41">
        <v>3.5340216586353512</v>
      </c>
      <c r="L67" s="41">
        <v>3.9235309760157238</v>
      </c>
    </row>
    <row r="68" spans="2:13" x14ac:dyDescent="0.25">
      <c r="B68" s="10" t="s">
        <v>171</v>
      </c>
      <c r="C68" s="10"/>
      <c r="D68" s="10"/>
      <c r="E68" s="10"/>
      <c r="F68" s="10"/>
      <c r="G68" s="41">
        <v>3.3113341663425655</v>
      </c>
      <c r="H68" s="41">
        <v>3.7288537744355086</v>
      </c>
      <c r="I68" s="41">
        <v>4.1538052613729359</v>
      </c>
      <c r="J68" s="41">
        <v>4.5764668592866977</v>
      </c>
      <c r="K68" s="41">
        <v>4.9969707800334184</v>
      </c>
      <c r="L68" s="41">
        <v>5.4154493869464249</v>
      </c>
    </row>
    <row r="69" spans="2:13" x14ac:dyDescent="0.25">
      <c r="B69" s="10" t="s">
        <v>172</v>
      </c>
      <c r="C69" s="10"/>
      <c r="D69" s="10"/>
      <c r="E69" s="10"/>
      <c r="F69" s="10"/>
      <c r="G69" s="41">
        <v>3.3113341663425655</v>
      </c>
      <c r="H69" s="41">
        <v>4.6484356661770301</v>
      </c>
      <c r="I69" s="41">
        <v>5.0915966955251761</v>
      </c>
      <c r="J69" s="41">
        <v>5.5328284208478928</v>
      </c>
      <c r="K69" s="41">
        <v>5.9722701942987939</v>
      </c>
      <c r="L69" s="41">
        <v>6.410061660900225</v>
      </c>
    </row>
    <row r="71" spans="2:13" x14ac:dyDescent="0.25">
      <c r="B71" s="10" t="s">
        <v>207</v>
      </c>
      <c r="C71" s="10"/>
      <c r="D71" s="10"/>
      <c r="E71" s="10"/>
      <c r="F71" s="10"/>
      <c r="G71" s="41">
        <f>(G67*0.25)+(G68*0.5)+(G69*0.25)</f>
        <v>3.3113341663425655</v>
      </c>
      <c r="H71" s="41">
        <f t="shared" ref="H71:L71" si="51">(H67*0.25)+(H68*0.5)+(H69*0.25)</f>
        <v>3.6139060379678201</v>
      </c>
      <c r="I71" s="41">
        <f t="shared" si="51"/>
        <v>4.0365813321039052</v>
      </c>
      <c r="J71" s="41">
        <f t="shared" si="51"/>
        <v>4.4569216640915483</v>
      </c>
      <c r="K71" s="41">
        <f t="shared" si="51"/>
        <v>4.8750583532502461</v>
      </c>
      <c r="L71" s="41">
        <f t="shared" si="51"/>
        <v>5.2911228527022001</v>
      </c>
    </row>
    <row r="72" spans="2:13" x14ac:dyDescent="0.25">
      <c r="B72" s="1" t="s">
        <v>162</v>
      </c>
      <c r="G72" s="38">
        <v>2.54</v>
      </c>
      <c r="H72" s="38">
        <v>2.54</v>
      </c>
      <c r="I72" s="38">
        <v>2.54</v>
      </c>
      <c r="J72" s="38">
        <v>2.54</v>
      </c>
      <c r="K72" s="38">
        <v>2.54</v>
      </c>
      <c r="L72" s="38">
        <v>2.54</v>
      </c>
    </row>
    <row r="73" spans="2:13" x14ac:dyDescent="0.25">
      <c r="B73" s="10" t="s">
        <v>164</v>
      </c>
      <c r="C73" s="10"/>
      <c r="D73" s="10"/>
      <c r="E73" s="10"/>
      <c r="F73" s="10"/>
      <c r="G73" s="25">
        <f t="shared" ref="G73:L73" si="52">(G71/G72)-1</f>
        <v>0.30367486863880533</v>
      </c>
      <c r="H73" s="25">
        <f t="shared" si="52"/>
        <v>0.42279765274323622</v>
      </c>
      <c r="I73" s="25">
        <f t="shared" si="52"/>
        <v>0.58920524885980519</v>
      </c>
      <c r="J73" s="25">
        <f t="shared" si="52"/>
        <v>0.7546935685399796</v>
      </c>
      <c r="K73" s="25">
        <f t="shared" si="52"/>
        <v>0.91931431230324656</v>
      </c>
      <c r="L73" s="25">
        <f t="shared" si="52"/>
        <v>1.0831192333473227</v>
      </c>
    </row>
    <row r="76" spans="2:13" ht="26.25" x14ac:dyDescent="0.4">
      <c r="B76" s="2" t="s">
        <v>182</v>
      </c>
      <c r="C76" s="3"/>
      <c r="D76" s="3"/>
      <c r="E76" s="3"/>
      <c r="F76" s="4"/>
      <c r="G76" s="4"/>
      <c r="H76" s="4"/>
      <c r="I76" s="4"/>
      <c r="J76" s="4"/>
      <c r="K76" s="4"/>
      <c r="L76" s="4"/>
      <c r="M76" s="4"/>
    </row>
    <row r="78" spans="2:13" x14ac:dyDescent="0.25">
      <c r="B78" s="1" t="s">
        <v>183</v>
      </c>
      <c r="D78" s="1" t="s">
        <v>184</v>
      </c>
    </row>
    <row r="80" spans="2:13" x14ac:dyDescent="0.25">
      <c r="B80" s="38">
        <v>5</v>
      </c>
      <c r="D80" s="17">
        <v>300000</v>
      </c>
    </row>
    <row r="81" spans="2:4" x14ac:dyDescent="0.25">
      <c r="B81" s="38">
        <f>B80+2.5</f>
        <v>7.5</v>
      </c>
      <c r="D81" s="17">
        <v>300000</v>
      </c>
    </row>
    <row r="82" spans="2:4" x14ac:dyDescent="0.25">
      <c r="B82" s="38">
        <f t="shared" ref="B82:B84" si="53">B81+2.5</f>
        <v>10</v>
      </c>
      <c r="D82" s="17">
        <v>300000</v>
      </c>
    </row>
    <row r="83" spans="2:4" x14ac:dyDescent="0.25">
      <c r="B83" s="38">
        <f t="shared" si="53"/>
        <v>12.5</v>
      </c>
      <c r="D83" s="17">
        <v>300000</v>
      </c>
    </row>
    <row r="84" spans="2:4" x14ac:dyDescent="0.25">
      <c r="B84" s="38">
        <f t="shared" si="53"/>
        <v>15</v>
      </c>
      <c r="D84" s="17">
        <v>320000</v>
      </c>
    </row>
    <row r="85" spans="2:4" x14ac:dyDescent="0.25">
      <c r="B85" s="42" t="s">
        <v>185</v>
      </c>
      <c r="C85" s="10"/>
      <c r="D85" s="11">
        <f>SUM(D80:D84)</f>
        <v>1520000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63E3-F288-4D55-B7FE-4CB32CAC923B}">
  <dimension ref="B2:N85"/>
  <sheetViews>
    <sheetView showGridLines="0" topLeftCell="A34" workbookViewId="0">
      <selection activeCell="H53" sqref="H53"/>
    </sheetView>
  </sheetViews>
  <sheetFormatPr defaultRowHeight="15.75" x14ac:dyDescent="0.25"/>
  <cols>
    <col min="1" max="6" width="9.140625" style="1"/>
    <col min="7" max="13" width="12.85546875" style="1" customWidth="1"/>
    <col min="14" max="16384" width="9.140625" style="1"/>
  </cols>
  <sheetData>
    <row r="2" spans="2:14" ht="26.25" x14ac:dyDescent="0.4"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5" spans="2:14" ht="26.25" x14ac:dyDescent="0.4">
      <c r="B5" s="2" t="s">
        <v>55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2:14" ht="16.5" thickBot="1" x14ac:dyDescent="0.3">
      <c r="B7" s="5" t="s">
        <v>1</v>
      </c>
      <c r="G7" s="6">
        <v>2020</v>
      </c>
      <c r="H7" s="6">
        <f t="shared" ref="H7:L7" si="0">G7+1</f>
        <v>2021</v>
      </c>
      <c r="I7" s="6">
        <f t="shared" si="0"/>
        <v>2022</v>
      </c>
      <c r="J7" s="6">
        <f t="shared" si="0"/>
        <v>2023</v>
      </c>
      <c r="K7" s="6">
        <f t="shared" si="0"/>
        <v>2024</v>
      </c>
      <c r="L7" s="6">
        <f t="shared" si="0"/>
        <v>2025</v>
      </c>
      <c r="M7" s="7" t="s">
        <v>14</v>
      </c>
    </row>
    <row r="9" spans="2:14" x14ac:dyDescent="0.25">
      <c r="B9" s="1" t="s">
        <v>56</v>
      </c>
      <c r="G9" s="8">
        <v>71674</v>
      </c>
      <c r="H9" s="8">
        <v>36325</v>
      </c>
      <c r="I9" s="8">
        <v>26150</v>
      </c>
      <c r="J9" s="8">
        <v>41081</v>
      </c>
      <c r="K9" s="8">
        <v>56087</v>
      </c>
      <c r="L9" s="8">
        <v>37231</v>
      </c>
      <c r="M9" s="8">
        <v>69020</v>
      </c>
    </row>
    <row r="10" spans="2:14" x14ac:dyDescent="0.25">
      <c r="B10" s="1" t="s">
        <v>33</v>
      </c>
      <c r="G10" s="8">
        <v>47341</v>
      </c>
      <c r="H10" s="8">
        <v>51390</v>
      </c>
      <c r="I10" s="8">
        <v>47083</v>
      </c>
      <c r="J10" s="8">
        <v>48360</v>
      </c>
      <c r="K10" s="8">
        <v>36123</v>
      </c>
      <c r="L10" s="8">
        <v>57895</v>
      </c>
      <c r="M10" s="8">
        <v>64158</v>
      </c>
    </row>
    <row r="11" spans="2:14" x14ac:dyDescent="0.25">
      <c r="B11" s="1" t="s">
        <v>34</v>
      </c>
      <c r="G11" s="8">
        <v>133928</v>
      </c>
      <c r="H11" s="8">
        <v>185040</v>
      </c>
      <c r="I11" s="8">
        <v>233573</v>
      </c>
      <c r="J11" s="8">
        <v>192260</v>
      </c>
      <c r="K11" s="8">
        <v>192523</v>
      </c>
      <c r="L11" s="8">
        <v>205661</v>
      </c>
      <c r="M11" s="8">
        <v>180202</v>
      </c>
    </row>
    <row r="12" spans="2:14" ht="16.5" thickBot="1" x14ac:dyDescent="0.3">
      <c r="B12" s="1" t="s">
        <v>57</v>
      </c>
      <c r="G12" s="9">
        <v>5037</v>
      </c>
      <c r="H12" s="9">
        <v>18962</v>
      </c>
      <c r="I12" s="9">
        <v>18157</v>
      </c>
      <c r="J12" s="9">
        <v>15665</v>
      </c>
      <c r="K12" s="9">
        <v>12614</v>
      </c>
      <c r="L12" s="9">
        <v>15374</v>
      </c>
      <c r="M12" s="9">
        <v>17231</v>
      </c>
    </row>
    <row r="13" spans="2:14" x14ac:dyDescent="0.25">
      <c r="B13" s="10" t="s">
        <v>58</v>
      </c>
      <c r="G13" s="11">
        <f>SUM(G9:G12)</f>
        <v>257980</v>
      </c>
      <c r="H13" s="11">
        <f t="shared" ref="H13:M13" si="1">SUM(H9:H12)</f>
        <v>291717</v>
      </c>
      <c r="I13" s="11">
        <f t="shared" si="1"/>
        <v>324963</v>
      </c>
      <c r="J13" s="11">
        <f t="shared" si="1"/>
        <v>297366</v>
      </c>
      <c r="K13" s="11">
        <f t="shared" si="1"/>
        <v>297347</v>
      </c>
      <c r="L13" s="11">
        <f t="shared" si="1"/>
        <v>316161</v>
      </c>
      <c r="M13" s="11">
        <f t="shared" si="1"/>
        <v>330611</v>
      </c>
    </row>
    <row r="14" spans="2:14" x14ac:dyDescent="0.25">
      <c r="B14" s="1" t="s">
        <v>59</v>
      </c>
      <c r="G14" s="8">
        <v>43729</v>
      </c>
      <c r="H14" s="8">
        <v>51495</v>
      </c>
      <c r="I14" s="8">
        <v>52181</v>
      </c>
      <c r="J14" s="8">
        <v>47206</v>
      </c>
      <c r="K14" s="8">
        <v>40983</v>
      </c>
      <c r="L14" s="8">
        <v>45127</v>
      </c>
      <c r="M14" s="8">
        <v>50174</v>
      </c>
    </row>
    <row r="15" spans="2:14" x14ac:dyDescent="0.25">
      <c r="B15" s="1" t="s">
        <v>60</v>
      </c>
      <c r="G15" s="8">
        <v>359099</v>
      </c>
      <c r="H15" s="8">
        <v>411383</v>
      </c>
      <c r="I15" s="8">
        <v>418121</v>
      </c>
      <c r="J15" s="8">
        <v>419056</v>
      </c>
      <c r="K15" s="8">
        <v>372340</v>
      </c>
      <c r="L15" s="8">
        <v>372340</v>
      </c>
      <c r="M15" s="8">
        <v>370958</v>
      </c>
    </row>
    <row r="16" spans="2:14" x14ac:dyDescent="0.25">
      <c r="B16" s="1" t="s">
        <v>61</v>
      </c>
      <c r="G16" s="8">
        <v>404522</v>
      </c>
      <c r="H16" s="8">
        <v>438461</v>
      </c>
      <c r="I16" s="8">
        <v>424855</v>
      </c>
      <c r="J16" s="8">
        <v>410465</v>
      </c>
      <c r="K16" s="8">
        <v>386676</v>
      </c>
      <c r="L16" s="8">
        <v>396910</v>
      </c>
      <c r="M16" s="8">
        <v>369753</v>
      </c>
    </row>
    <row r="17" spans="2:13" ht="16.5" thickBot="1" x14ac:dyDescent="0.3">
      <c r="B17" s="1" t="s">
        <v>62</v>
      </c>
      <c r="G17" s="9">
        <v>0</v>
      </c>
      <c r="H17" s="9">
        <v>0</v>
      </c>
      <c r="I17" s="9">
        <v>29522</v>
      </c>
      <c r="J17" s="9">
        <v>29250</v>
      </c>
      <c r="K17" s="9">
        <v>35974</v>
      </c>
      <c r="L17" s="9">
        <v>33415</v>
      </c>
      <c r="M17" s="9">
        <v>40872</v>
      </c>
    </row>
    <row r="18" spans="2:13" x14ac:dyDescent="0.25">
      <c r="B18" s="10" t="s">
        <v>63</v>
      </c>
      <c r="G18" s="11">
        <f>SUM(G14:G17)+G13</f>
        <v>1065330</v>
      </c>
      <c r="H18" s="11">
        <f t="shared" ref="H18:M18" si="2">SUM(H14:H17)+H13</f>
        <v>1193056</v>
      </c>
      <c r="I18" s="11">
        <f t="shared" si="2"/>
        <v>1249642</v>
      </c>
      <c r="J18" s="11">
        <f t="shared" si="2"/>
        <v>1203343</v>
      </c>
      <c r="K18" s="11">
        <f t="shared" si="2"/>
        <v>1133320</v>
      </c>
      <c r="L18" s="11">
        <f t="shared" si="2"/>
        <v>1163953</v>
      </c>
      <c r="M18" s="11">
        <f t="shared" si="2"/>
        <v>1162368</v>
      </c>
    </row>
    <row r="20" spans="2:13" x14ac:dyDescent="0.25">
      <c r="B20" s="1" t="s">
        <v>36</v>
      </c>
      <c r="G20" s="8">
        <v>34601</v>
      </c>
      <c r="H20" s="8">
        <v>45708</v>
      </c>
      <c r="I20" s="8">
        <v>44948</v>
      </c>
      <c r="J20" s="8">
        <v>43692</v>
      </c>
      <c r="K20" s="8">
        <v>44781</v>
      </c>
      <c r="L20" s="8">
        <v>60121</v>
      </c>
      <c r="M20" s="8">
        <v>55972</v>
      </c>
    </row>
    <row r="21" spans="2:13" x14ac:dyDescent="0.25">
      <c r="B21" s="1" t="s">
        <v>64</v>
      </c>
      <c r="G21" s="8">
        <v>35292</v>
      </c>
      <c r="H21" s="8">
        <v>34853</v>
      </c>
      <c r="I21" s="8">
        <v>43317</v>
      </c>
      <c r="J21" s="8">
        <v>42129</v>
      </c>
      <c r="K21" s="8">
        <v>43190</v>
      </c>
      <c r="L21" s="8">
        <v>48316</v>
      </c>
      <c r="M21" s="8">
        <v>40553</v>
      </c>
    </row>
    <row r="22" spans="2:13" x14ac:dyDescent="0.25">
      <c r="B22" s="1" t="s">
        <v>37</v>
      </c>
      <c r="G22" s="8">
        <v>6588</v>
      </c>
      <c r="H22" s="8">
        <v>3359</v>
      </c>
      <c r="I22" s="8">
        <v>5994</v>
      </c>
      <c r="J22" s="8">
        <v>455</v>
      </c>
      <c r="K22" s="8" t="s">
        <v>72</v>
      </c>
      <c r="L22" s="8">
        <v>115</v>
      </c>
      <c r="M22" s="8">
        <v>3401</v>
      </c>
    </row>
    <row r="23" spans="2:13" ht="16.5" thickBot="1" x14ac:dyDescent="0.3">
      <c r="B23" s="1" t="s">
        <v>65</v>
      </c>
      <c r="G23" s="9">
        <v>5528</v>
      </c>
      <c r="H23" s="9">
        <v>7875</v>
      </c>
      <c r="I23" s="9">
        <v>7000</v>
      </c>
      <c r="J23" s="9">
        <v>7461</v>
      </c>
      <c r="K23" s="9">
        <v>7201</v>
      </c>
      <c r="L23" s="9">
        <v>6571</v>
      </c>
      <c r="M23" s="9">
        <v>8207</v>
      </c>
    </row>
    <row r="24" spans="2:13" x14ac:dyDescent="0.25">
      <c r="B24" s="10" t="s">
        <v>66</v>
      </c>
      <c r="G24" s="11">
        <f>SUM(G20:G23)</f>
        <v>82009</v>
      </c>
      <c r="H24" s="11">
        <f t="shared" ref="H24:M24" si="3">SUM(H20:H23)</f>
        <v>91795</v>
      </c>
      <c r="I24" s="11">
        <f t="shared" si="3"/>
        <v>101259</v>
      </c>
      <c r="J24" s="11">
        <f t="shared" si="3"/>
        <v>93737</v>
      </c>
      <c r="K24" s="11">
        <f t="shared" si="3"/>
        <v>95172</v>
      </c>
      <c r="L24" s="11">
        <f t="shared" si="3"/>
        <v>115123</v>
      </c>
      <c r="M24" s="11">
        <f t="shared" si="3"/>
        <v>108133</v>
      </c>
    </row>
    <row r="25" spans="2:13" x14ac:dyDescent="0.25">
      <c r="B25" s="1" t="s">
        <v>67</v>
      </c>
      <c r="G25" s="8">
        <v>669458</v>
      </c>
      <c r="H25" s="8">
        <v>637673</v>
      </c>
      <c r="I25" s="8">
        <v>643563</v>
      </c>
      <c r="J25" s="8">
        <v>576710</v>
      </c>
      <c r="K25" s="8">
        <v>545385</v>
      </c>
      <c r="L25" s="8">
        <v>516078</v>
      </c>
      <c r="M25" s="8">
        <v>518606</v>
      </c>
    </row>
    <row r="26" spans="2:13" x14ac:dyDescent="0.25">
      <c r="B26" s="1" t="s">
        <v>68</v>
      </c>
      <c r="G26" s="8">
        <v>71336</v>
      </c>
      <c r="H26" s="8">
        <v>70045</v>
      </c>
      <c r="I26" s="8">
        <v>58390</v>
      </c>
      <c r="J26" s="8">
        <v>53542</v>
      </c>
      <c r="K26" s="8">
        <v>37391</v>
      </c>
      <c r="L26" s="8">
        <v>46540</v>
      </c>
      <c r="M26" s="8">
        <v>47362</v>
      </c>
    </row>
    <row r="27" spans="2:13" ht="16.5" thickBot="1" x14ac:dyDescent="0.3">
      <c r="B27" s="1" t="s">
        <v>69</v>
      </c>
      <c r="G27" s="9">
        <v>2146</v>
      </c>
      <c r="H27" s="9">
        <v>89056</v>
      </c>
      <c r="I27" s="9">
        <v>30440</v>
      </c>
      <c r="J27" s="9">
        <v>38203</v>
      </c>
      <c r="K27" s="9">
        <v>34220</v>
      </c>
      <c r="L27" s="9">
        <v>37287</v>
      </c>
      <c r="M27" s="9">
        <v>38529</v>
      </c>
    </row>
    <row r="28" spans="2:13" x14ac:dyDescent="0.25">
      <c r="B28" s="10" t="s">
        <v>70</v>
      </c>
      <c r="G28" s="11">
        <f>SUM(G25:G27)+G24</f>
        <v>824949</v>
      </c>
      <c r="H28" s="11">
        <f t="shared" ref="H28:M28" si="4">SUM(H25:H27)+H24</f>
        <v>888569</v>
      </c>
      <c r="I28" s="11">
        <f t="shared" si="4"/>
        <v>833652</v>
      </c>
      <c r="J28" s="11">
        <f t="shared" si="4"/>
        <v>762192</v>
      </c>
      <c r="K28" s="11">
        <f t="shared" si="4"/>
        <v>712168</v>
      </c>
      <c r="L28" s="11">
        <f t="shared" si="4"/>
        <v>715028</v>
      </c>
      <c r="M28" s="11">
        <f t="shared" si="4"/>
        <v>712630</v>
      </c>
    </row>
    <row r="29" spans="2:13" x14ac:dyDescent="0.25">
      <c r="B29" s="10" t="s">
        <v>71</v>
      </c>
      <c r="G29" s="11">
        <v>240381</v>
      </c>
      <c r="H29" s="11">
        <v>304487</v>
      </c>
      <c r="I29" s="11">
        <v>415990</v>
      </c>
      <c r="J29" s="11">
        <v>441151</v>
      </c>
      <c r="K29" s="11">
        <v>421152</v>
      </c>
      <c r="L29" s="11">
        <v>448925</v>
      </c>
      <c r="M29" s="11">
        <v>449738</v>
      </c>
    </row>
    <row r="30" spans="2:13" x14ac:dyDescent="0.25">
      <c r="B30" s="10" t="s">
        <v>73</v>
      </c>
      <c r="G30" s="11">
        <f>G28+G29</f>
        <v>1065330</v>
      </c>
      <c r="H30" s="11">
        <f t="shared" ref="H30:M30" si="5">H28+H29</f>
        <v>1193056</v>
      </c>
      <c r="I30" s="11">
        <f t="shared" si="5"/>
        <v>1249642</v>
      </c>
      <c r="J30" s="11">
        <f t="shared" si="5"/>
        <v>1203343</v>
      </c>
      <c r="K30" s="11">
        <f t="shared" si="5"/>
        <v>1133320</v>
      </c>
      <c r="L30" s="11">
        <f t="shared" si="5"/>
        <v>1163953</v>
      </c>
      <c r="M30" s="11">
        <f t="shared" si="5"/>
        <v>1162368</v>
      </c>
    </row>
    <row r="31" spans="2:13" x14ac:dyDescent="0.25">
      <c r="B31" s="10"/>
      <c r="G31" s="11"/>
      <c r="H31" s="11"/>
      <c r="I31" s="11"/>
      <c r="J31" s="11"/>
      <c r="K31" s="11"/>
      <c r="L31" s="11"/>
      <c r="M31" s="11"/>
    </row>
    <row r="32" spans="2:13" x14ac:dyDescent="0.25">
      <c r="B32" s="1" t="s">
        <v>146</v>
      </c>
      <c r="G32" s="17">
        <v>0</v>
      </c>
      <c r="H32" s="17">
        <v>0</v>
      </c>
      <c r="I32" s="17">
        <v>30104</v>
      </c>
      <c r="J32" s="17">
        <v>30125</v>
      </c>
      <c r="K32" s="17">
        <v>37200</v>
      </c>
      <c r="L32" s="17">
        <v>34527</v>
      </c>
      <c r="M32" s="17">
        <v>42691</v>
      </c>
    </row>
    <row r="35" spans="2:14" ht="26.25" x14ac:dyDescent="0.4">
      <c r="B35" s="2" t="s">
        <v>79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7" spans="2:14" ht="16.5" thickBot="1" x14ac:dyDescent="0.3">
      <c r="B37" s="5" t="s">
        <v>1</v>
      </c>
      <c r="G37" s="6">
        <v>2020</v>
      </c>
      <c r="H37" s="6">
        <f t="shared" ref="H37" si="6">G37+1</f>
        <v>2021</v>
      </c>
      <c r="I37" s="6">
        <f t="shared" ref="I37" si="7">H37+1</f>
        <v>2022</v>
      </c>
      <c r="J37" s="6">
        <f t="shared" ref="J37" si="8">I37+1</f>
        <v>2023</v>
      </c>
      <c r="K37" s="6">
        <f t="shared" ref="K37" si="9">J37+1</f>
        <v>2024</v>
      </c>
      <c r="L37" s="6">
        <f t="shared" ref="L37" si="10">K37+1</f>
        <v>2025</v>
      </c>
      <c r="M37" s="7" t="s">
        <v>14</v>
      </c>
    </row>
    <row r="39" spans="2:14" x14ac:dyDescent="0.25">
      <c r="B39" s="1" t="s">
        <v>80</v>
      </c>
      <c r="G39" s="17">
        <f>G13-G24</f>
        <v>175971</v>
      </c>
      <c r="H39" s="17">
        <f t="shared" ref="H39:M39" si="11">H13-H24</f>
        <v>199922</v>
      </c>
      <c r="I39" s="17">
        <f t="shared" si="11"/>
        <v>223704</v>
      </c>
      <c r="J39" s="17">
        <f t="shared" si="11"/>
        <v>203629</v>
      </c>
      <c r="K39" s="17">
        <f t="shared" si="11"/>
        <v>202175</v>
      </c>
      <c r="L39" s="17">
        <f t="shared" si="11"/>
        <v>201038</v>
      </c>
      <c r="M39" s="17">
        <f t="shared" si="11"/>
        <v>222478</v>
      </c>
    </row>
    <row r="40" spans="2:14" x14ac:dyDescent="0.25">
      <c r="G40" s="17"/>
      <c r="H40" s="17"/>
      <c r="I40" s="17"/>
      <c r="J40" s="17"/>
      <c r="K40" s="17"/>
      <c r="L40" s="17"/>
      <c r="M40" s="17"/>
    </row>
    <row r="41" spans="2:14" x14ac:dyDescent="0.25">
      <c r="B41" s="1" t="s">
        <v>81</v>
      </c>
      <c r="G41" s="27">
        <f>G13/G24</f>
        <v>3.1457522954797645</v>
      </c>
      <c r="H41" s="27">
        <f t="shared" ref="H41:M41" si="12">H13/H24</f>
        <v>3.1779181872651017</v>
      </c>
      <c r="I41" s="27">
        <f t="shared" si="12"/>
        <v>3.2092258465914143</v>
      </c>
      <c r="J41" s="27">
        <f t="shared" si="12"/>
        <v>3.1723438983539052</v>
      </c>
      <c r="K41" s="27">
        <f t="shared" si="12"/>
        <v>3.1243117723700249</v>
      </c>
      <c r="L41" s="27">
        <f t="shared" si="12"/>
        <v>2.7462887520304369</v>
      </c>
      <c r="M41" s="27">
        <f t="shared" si="12"/>
        <v>3.0574477726503471</v>
      </c>
    </row>
    <row r="42" spans="2:14" x14ac:dyDescent="0.25">
      <c r="B42" s="1" t="s">
        <v>82</v>
      </c>
      <c r="G42" s="27">
        <f>(G9+G10)/G24</f>
        <v>1.4512431562389494</v>
      </c>
      <c r="H42" s="27">
        <f t="shared" ref="H42:M42" si="13">(H9+H10)/H24</f>
        <v>0.95555313470232583</v>
      </c>
      <c r="I42" s="27">
        <f t="shared" si="13"/>
        <v>0.72322460225757712</v>
      </c>
      <c r="J42" s="27">
        <f t="shared" si="13"/>
        <v>0.95416964485742017</v>
      </c>
      <c r="K42" s="27">
        <f t="shared" si="13"/>
        <v>0.96887740091623586</v>
      </c>
      <c r="L42" s="27">
        <f t="shared" si="13"/>
        <v>0.8262988282098277</v>
      </c>
      <c r="M42" s="27">
        <f t="shared" si="13"/>
        <v>1.2316129211249109</v>
      </c>
    </row>
    <row r="44" spans="2:14" x14ac:dyDescent="0.25">
      <c r="B44" s="1" t="s">
        <v>83</v>
      </c>
      <c r="G44" s="17">
        <f>G23+G25+G32</f>
        <v>674986</v>
      </c>
      <c r="H44" s="17">
        <f t="shared" ref="H44:M44" si="14">H23+H25+H32</f>
        <v>645548</v>
      </c>
      <c r="I44" s="17">
        <f t="shared" si="14"/>
        <v>680667</v>
      </c>
      <c r="J44" s="17">
        <f t="shared" si="14"/>
        <v>614296</v>
      </c>
      <c r="K44" s="17">
        <f t="shared" si="14"/>
        <v>589786</v>
      </c>
      <c r="L44" s="17">
        <f t="shared" si="14"/>
        <v>557176</v>
      </c>
      <c r="M44" s="17">
        <f t="shared" si="14"/>
        <v>569504</v>
      </c>
    </row>
    <row r="45" spans="2:14" x14ac:dyDescent="0.25">
      <c r="B45" s="1" t="s">
        <v>186</v>
      </c>
      <c r="G45" s="17">
        <f>G44-G9</f>
        <v>603312</v>
      </c>
      <c r="H45" s="17">
        <f t="shared" ref="H45:M45" si="15">H44-H9</f>
        <v>609223</v>
      </c>
      <c r="I45" s="17">
        <f t="shared" si="15"/>
        <v>654517</v>
      </c>
      <c r="J45" s="17">
        <f t="shared" si="15"/>
        <v>573215</v>
      </c>
      <c r="K45" s="17">
        <f t="shared" si="15"/>
        <v>533699</v>
      </c>
      <c r="L45" s="17">
        <f>L44-L9</f>
        <v>519945</v>
      </c>
      <c r="M45" s="17">
        <f t="shared" si="15"/>
        <v>500484</v>
      </c>
    </row>
    <row r="46" spans="2:14" x14ac:dyDescent="0.25">
      <c r="B46" s="1" t="s">
        <v>187</v>
      </c>
      <c r="G46" s="17">
        <f>G45-G32</f>
        <v>603312</v>
      </c>
      <c r="H46" s="17">
        <f t="shared" ref="H46:M46" si="16">H45-H32</f>
        <v>609223</v>
      </c>
      <c r="I46" s="17">
        <f t="shared" si="16"/>
        <v>624413</v>
      </c>
      <c r="J46" s="17">
        <f t="shared" si="16"/>
        <v>543090</v>
      </c>
      <c r="K46" s="17">
        <f t="shared" si="16"/>
        <v>496499</v>
      </c>
      <c r="L46" s="17">
        <f t="shared" si="16"/>
        <v>485418</v>
      </c>
      <c r="M46" s="17">
        <f t="shared" si="16"/>
        <v>457793</v>
      </c>
    </row>
    <row r="47" spans="2:14" x14ac:dyDescent="0.25">
      <c r="B47" s="1" t="s">
        <v>104</v>
      </c>
      <c r="G47" s="17"/>
      <c r="H47" s="17">
        <f>G45-H45</f>
        <v>-5911</v>
      </c>
      <c r="I47" s="17">
        <f t="shared" ref="I47:M47" si="17">H45-I45</f>
        <v>-45294</v>
      </c>
      <c r="J47" s="17">
        <f t="shared" si="17"/>
        <v>81302</v>
      </c>
      <c r="K47" s="17">
        <f t="shared" si="17"/>
        <v>39516</v>
      </c>
      <c r="L47" s="17">
        <f t="shared" si="17"/>
        <v>13754</v>
      </c>
      <c r="M47" s="17">
        <f t="shared" si="17"/>
        <v>19461</v>
      </c>
    </row>
    <row r="48" spans="2:14" x14ac:dyDescent="0.25">
      <c r="G48" s="17"/>
      <c r="H48" s="17"/>
      <c r="I48" s="17"/>
      <c r="J48" s="17"/>
      <c r="K48" s="17"/>
      <c r="L48" s="17"/>
      <c r="M48" s="17"/>
    </row>
    <row r="49" spans="2:13" x14ac:dyDescent="0.25">
      <c r="B49" s="1" t="s">
        <v>85</v>
      </c>
      <c r="G49" s="27">
        <f>G44/G29</f>
        <v>2.8079839920792407</v>
      </c>
      <c r="H49" s="27">
        <f t="shared" ref="H49:M49" si="18">H44/H29</f>
        <v>2.1201167865951582</v>
      </c>
      <c r="I49" s="27">
        <f t="shared" si="18"/>
        <v>1.6362580831269982</v>
      </c>
      <c r="J49" s="27">
        <f t="shared" si="18"/>
        <v>1.3924846594476721</v>
      </c>
      <c r="K49" s="27">
        <f t="shared" si="18"/>
        <v>1.4004112529443051</v>
      </c>
      <c r="L49" s="27">
        <f t="shared" si="18"/>
        <v>1.2411338196803474</v>
      </c>
      <c r="M49" s="27">
        <f t="shared" si="18"/>
        <v>1.2663017134420484</v>
      </c>
    </row>
    <row r="50" spans="2:13" x14ac:dyDescent="0.25">
      <c r="B50" s="1" t="s">
        <v>86</v>
      </c>
      <c r="G50" s="26">
        <f>G44/G18</f>
        <v>0.63359334666253653</v>
      </c>
      <c r="H50" s="26">
        <f t="shared" ref="H50:M50" si="19">H44/H18</f>
        <v>0.54108776117801682</v>
      </c>
      <c r="I50" s="26">
        <f t="shared" si="19"/>
        <v>0.54468959910118253</v>
      </c>
      <c r="J50" s="26">
        <f t="shared" si="19"/>
        <v>0.51049118995996989</v>
      </c>
      <c r="K50" s="26">
        <f t="shared" si="19"/>
        <v>0.52040553418275504</v>
      </c>
      <c r="L50" s="26">
        <f t="shared" si="19"/>
        <v>0.47869286818282181</v>
      </c>
      <c r="M50" s="26">
        <f t="shared" si="19"/>
        <v>0.48995154718643319</v>
      </c>
    </row>
    <row r="52" spans="2:13" x14ac:dyDescent="0.25">
      <c r="B52" s="1" t="s">
        <v>87</v>
      </c>
      <c r="G52" s="17">
        <f>G29-G15-G16</f>
        <v>-523240</v>
      </c>
      <c r="H52" s="17">
        <f t="shared" ref="H52:M52" si="20">H29-H15-H16</f>
        <v>-545357</v>
      </c>
      <c r="I52" s="17">
        <f t="shared" si="20"/>
        <v>-426986</v>
      </c>
      <c r="J52" s="17">
        <f t="shared" si="20"/>
        <v>-388370</v>
      </c>
      <c r="K52" s="17">
        <f t="shared" si="20"/>
        <v>-337864</v>
      </c>
      <c r="L52" s="17">
        <f t="shared" si="20"/>
        <v>-320325</v>
      </c>
      <c r="M52" s="17">
        <f t="shared" si="20"/>
        <v>-290973</v>
      </c>
    </row>
    <row r="53" spans="2:13" x14ac:dyDescent="0.25">
      <c r="B53" s="1" t="s">
        <v>88</v>
      </c>
      <c r="G53" s="17">
        <f>G29</f>
        <v>240381</v>
      </c>
      <c r="H53" s="17">
        <f t="shared" ref="H53:M53" si="21">H29</f>
        <v>304487</v>
      </c>
      <c r="I53" s="17">
        <f t="shared" si="21"/>
        <v>415990</v>
      </c>
      <c r="J53" s="17">
        <f t="shared" si="21"/>
        <v>441151</v>
      </c>
      <c r="K53" s="17">
        <f t="shared" si="21"/>
        <v>421152</v>
      </c>
      <c r="L53" s="17">
        <f t="shared" si="21"/>
        <v>448925</v>
      </c>
      <c r="M53" s="17">
        <f t="shared" si="21"/>
        <v>449738</v>
      </c>
    </row>
    <row r="55" spans="2:13" x14ac:dyDescent="0.25">
      <c r="B55" s="1" t="s">
        <v>89</v>
      </c>
      <c r="G55" s="26">
        <f>(G15+G16)/G18</f>
        <v>0.71679291862615335</v>
      </c>
      <c r="H55" s="26">
        <f t="shared" ref="H55:M55" si="22">(H15+H16)/H18</f>
        <v>0.71232532253305791</v>
      </c>
      <c r="I55" s="26">
        <f t="shared" si="22"/>
        <v>0.6745739979930252</v>
      </c>
      <c r="J55" s="26">
        <f t="shared" si="22"/>
        <v>0.6893470938876114</v>
      </c>
      <c r="K55" s="26">
        <f t="shared" si="22"/>
        <v>0.66972787915151943</v>
      </c>
      <c r="L55" s="26">
        <f t="shared" si="22"/>
        <v>0.66089438319244853</v>
      </c>
      <c r="M55" s="26">
        <f t="shared" si="22"/>
        <v>0.63724311061557093</v>
      </c>
    </row>
    <row r="57" spans="2:13" x14ac:dyDescent="0.25">
      <c r="B57" s="1" t="s">
        <v>90</v>
      </c>
      <c r="G57" s="17">
        <f>'IS Analysis'!G67</f>
        <v>120255</v>
      </c>
      <c r="H57" s="17">
        <f>'IS Analysis'!H67</f>
        <v>152506</v>
      </c>
      <c r="I57" s="17">
        <f>'IS Analysis'!I67</f>
        <v>77927</v>
      </c>
      <c r="J57" s="17">
        <f>'IS Analysis'!J67</f>
        <v>118903</v>
      </c>
      <c r="K57" s="17">
        <f>'IS Analysis'!K67</f>
        <v>96938</v>
      </c>
      <c r="L57" s="17">
        <f>'IS Analysis'!L67</f>
        <v>105963</v>
      </c>
      <c r="M57" s="17">
        <f>'IS Analysis'!M67</f>
        <v>51652</v>
      </c>
    </row>
    <row r="58" spans="2:13" x14ac:dyDescent="0.25">
      <c r="B58" s="1" t="s">
        <v>91</v>
      </c>
      <c r="G58" s="27">
        <f>G45/G57</f>
        <v>5.0169390046151925</v>
      </c>
      <c r="H58" s="27">
        <f t="shared" ref="H58:M58" si="23">H45/H57</f>
        <v>3.9947477476296016</v>
      </c>
      <c r="I58" s="27">
        <f t="shared" si="23"/>
        <v>8.3991042899123531</v>
      </c>
      <c r="J58" s="27">
        <f t="shared" si="23"/>
        <v>4.8208623836236262</v>
      </c>
      <c r="K58" s="27">
        <f t="shared" si="23"/>
        <v>5.5055705708803568</v>
      </c>
      <c r="L58" s="27">
        <f t="shared" si="23"/>
        <v>4.9068542793239152</v>
      </c>
      <c r="M58" s="27">
        <f t="shared" si="23"/>
        <v>9.689537675211028</v>
      </c>
    </row>
    <row r="60" spans="2:13" x14ac:dyDescent="0.25">
      <c r="B60" s="1" t="s">
        <v>93</v>
      </c>
      <c r="G60" s="17">
        <f>'IS Analysis'!G61</f>
        <v>101287</v>
      </c>
      <c r="H60" s="17">
        <f>'IS Analysis'!H61</f>
        <v>126980</v>
      </c>
      <c r="I60" s="17">
        <f>'IS Analysis'!I61</f>
        <v>53137</v>
      </c>
      <c r="J60" s="17">
        <f>'IS Analysis'!J61</f>
        <v>94038</v>
      </c>
      <c r="K60" s="17">
        <f>'IS Analysis'!K61</f>
        <v>72503</v>
      </c>
      <c r="L60" s="17">
        <f>'IS Analysis'!L61</f>
        <v>82481</v>
      </c>
      <c r="M60" s="17">
        <f>'IS Analysis'!M61</f>
        <v>39634</v>
      </c>
    </row>
    <row r="61" spans="2:13" x14ac:dyDescent="0.25">
      <c r="B61" s="1" t="s">
        <v>20</v>
      </c>
      <c r="G61" s="17">
        <f>'Historical Financials'!G34</f>
        <v>-43772</v>
      </c>
      <c r="H61" s="17">
        <f>'Historical Financials'!H34</f>
        <v>-39128</v>
      </c>
      <c r="I61" s="17">
        <f>'Historical Financials'!I34</f>
        <v>-40227</v>
      </c>
      <c r="J61" s="17">
        <f>'Historical Financials'!J34</f>
        <v>-60746</v>
      </c>
      <c r="K61" s="17">
        <f>'Historical Financials'!K34</f>
        <v>-50690</v>
      </c>
      <c r="L61" s="17">
        <f>'Historical Financials'!L34</f>
        <v>-51833</v>
      </c>
      <c r="M61" s="17">
        <f>'Historical Financials'!M34</f>
        <v>-18119</v>
      </c>
    </row>
    <row r="62" spans="2:13" x14ac:dyDescent="0.25">
      <c r="B62" s="1" t="s">
        <v>92</v>
      </c>
      <c r="G62" s="27">
        <f>G60/-G61</f>
        <v>2.3139678333181029</v>
      </c>
      <c r="H62" s="27">
        <f t="shared" ref="H62:M62" si="24">H60/-H61</f>
        <v>3.2452463708852997</v>
      </c>
      <c r="I62" s="27">
        <f t="shared" si="24"/>
        <v>1.3209287294603127</v>
      </c>
      <c r="J62" s="27">
        <f t="shared" si="24"/>
        <v>1.5480525466697397</v>
      </c>
      <c r="K62" s="27">
        <f t="shared" si="24"/>
        <v>1.4303215624383507</v>
      </c>
      <c r="L62" s="27">
        <f t="shared" si="24"/>
        <v>1.5912835452318022</v>
      </c>
      <c r="M62" s="27">
        <f t="shared" si="24"/>
        <v>2.1874275622274961</v>
      </c>
    </row>
    <row r="64" spans="2:13" x14ac:dyDescent="0.25">
      <c r="G64" s="17"/>
      <c r="H64" s="17"/>
      <c r="I64" s="17"/>
      <c r="J64" s="17"/>
      <c r="K64" s="17"/>
      <c r="L64" s="17"/>
      <c r="M64" s="17"/>
    </row>
    <row r="65" spans="2:14" ht="26.25" x14ac:dyDescent="0.4">
      <c r="B65" s="2" t="s">
        <v>110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7" spans="2:14" ht="16.5" thickBot="1" x14ac:dyDescent="0.3">
      <c r="B67" s="5" t="s">
        <v>1</v>
      </c>
      <c r="G67" s="7" t="s">
        <v>14</v>
      </c>
    </row>
    <row r="69" spans="2:14" x14ac:dyDescent="0.25">
      <c r="B69" s="1" t="s">
        <v>111</v>
      </c>
      <c r="G69" s="8">
        <v>527719</v>
      </c>
    </row>
    <row r="70" spans="2:14" x14ac:dyDescent="0.25">
      <c r="B70" s="1" t="s">
        <v>112</v>
      </c>
      <c r="G70" s="8">
        <v>0</v>
      </c>
    </row>
    <row r="71" spans="2:14" x14ac:dyDescent="0.25">
      <c r="B71" s="1" t="s">
        <v>113</v>
      </c>
      <c r="G71" s="8">
        <v>5023</v>
      </c>
    </row>
    <row r="72" spans="2:14" ht="16.5" thickBot="1" x14ac:dyDescent="0.3">
      <c r="B72" s="1" t="s">
        <v>114</v>
      </c>
      <c r="G72" s="9">
        <v>88</v>
      </c>
    </row>
    <row r="73" spans="2:14" x14ac:dyDescent="0.25">
      <c r="B73" s="1" t="s">
        <v>115</v>
      </c>
      <c r="G73" s="11">
        <f>SUM(G69:G72)</f>
        <v>532830</v>
      </c>
    </row>
    <row r="74" spans="2:14" x14ac:dyDescent="0.25">
      <c r="B74" s="1" t="s">
        <v>56</v>
      </c>
      <c r="G74" s="8">
        <f>M9</f>
        <v>69020</v>
      </c>
    </row>
    <row r="75" spans="2:14" x14ac:dyDescent="0.25">
      <c r="B75" s="1" t="s">
        <v>116</v>
      </c>
      <c r="G75" s="11">
        <f>G73-G74</f>
        <v>463810</v>
      </c>
    </row>
    <row r="78" spans="2:14" ht="26.25" x14ac:dyDescent="0.4">
      <c r="B78" s="2" t="s">
        <v>110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80" spans="2:14" ht="16.5" thickBot="1" x14ac:dyDescent="0.3">
      <c r="B80" s="5" t="s">
        <v>1</v>
      </c>
      <c r="G80" s="7" t="s">
        <v>124</v>
      </c>
      <c r="H80" s="7" t="s">
        <v>125</v>
      </c>
      <c r="I80" s="7" t="s">
        <v>126</v>
      </c>
    </row>
    <row r="82" spans="2:9" x14ac:dyDescent="0.25">
      <c r="B82" s="1" t="s">
        <v>127</v>
      </c>
      <c r="G82" s="8">
        <f>G69</f>
        <v>527719</v>
      </c>
    </row>
    <row r="83" spans="2:9" x14ac:dyDescent="0.25">
      <c r="B83" s="1" t="s">
        <v>128</v>
      </c>
      <c r="G83" s="8">
        <v>-4929</v>
      </c>
    </row>
    <row r="84" spans="2:9" ht="16.5" thickBot="1" x14ac:dyDescent="0.3">
      <c r="B84" s="1" t="s">
        <v>129</v>
      </c>
      <c r="G84" s="9">
        <v>-13457</v>
      </c>
      <c r="H84" s="9"/>
      <c r="I84" s="9"/>
    </row>
    <row r="85" spans="2:9" x14ac:dyDescent="0.25">
      <c r="B85" s="1" t="s">
        <v>130</v>
      </c>
      <c r="G85" s="11">
        <f>SUM(G82:G84)</f>
        <v>509333</v>
      </c>
      <c r="H85" s="11">
        <f t="shared" ref="H85:I85" si="25">SUM(H82:H84)</f>
        <v>0</v>
      </c>
      <c r="I85" s="11">
        <f t="shared" si="25"/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 Financials</vt:lpstr>
      <vt:lpstr>Substack</vt:lpstr>
      <vt:lpstr>IS Analysis</vt:lpstr>
      <vt:lpstr>Valuation</vt:lpstr>
      <vt:lpstr>BS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Passafiume</dc:creator>
  <cp:lastModifiedBy>Conner Passafiume</cp:lastModifiedBy>
  <dcterms:created xsi:type="dcterms:W3CDTF">2026-09-08T02:37:55Z</dcterms:created>
  <dcterms:modified xsi:type="dcterms:W3CDTF">2026-09-21T18:02:12Z</dcterms:modified>
</cp:coreProperties>
</file>