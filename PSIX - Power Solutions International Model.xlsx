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\Documents\Finance\Models\"/>
    </mc:Choice>
  </mc:AlternateContent>
  <xr:revisionPtr revIDLastSave="0" documentId="13_ncr:1_{CA51925D-CA06-4F3A-B8DC-C65EC290F259}" xr6:coauthVersionLast="47" xr6:coauthVersionMax="47" xr10:uidLastSave="{00000000-0000-0000-0000-000000000000}"/>
  <bookViews>
    <workbookView xWindow="29250" yWindow="480" windowWidth="25350" windowHeight="14130" activeTab="2" xr2:uid="{F40EE3BE-1258-4D39-A83D-42E2DC6B1DCA}"/>
  </bookViews>
  <sheets>
    <sheet name="Three Statement Model" sheetId="1" r:id="rId1"/>
    <sheet name="Analysis" sheetId="2" r:id="rId2"/>
    <sheet name="Comparables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9" i="1" l="1"/>
  <c r="G268" i="1"/>
  <c r="H268" i="1"/>
  <c r="I268" i="1"/>
  <c r="J268" i="1"/>
  <c r="K268" i="1"/>
  <c r="L268" i="1"/>
  <c r="M268" i="1"/>
  <c r="N268" i="1"/>
  <c r="O268" i="1"/>
  <c r="G269" i="1"/>
  <c r="H269" i="1"/>
  <c r="I269" i="1"/>
  <c r="J269" i="1"/>
  <c r="K269" i="1"/>
  <c r="L269" i="1"/>
  <c r="M269" i="1"/>
  <c r="N269" i="1"/>
  <c r="O269" i="1"/>
  <c r="F269" i="1"/>
  <c r="F268" i="1"/>
  <c r="G259" i="1"/>
  <c r="H259" i="1"/>
  <c r="I259" i="1"/>
  <c r="J259" i="1"/>
  <c r="J260" i="1" s="1"/>
  <c r="K259" i="1"/>
  <c r="K260" i="1" s="1"/>
  <c r="L259" i="1"/>
  <c r="L260" i="1" s="1"/>
  <c r="M259" i="1"/>
  <c r="M260" i="1" s="1"/>
  <c r="N259" i="1"/>
  <c r="N260" i="1" s="1"/>
  <c r="O259" i="1"/>
  <c r="O260" i="1" s="1"/>
  <c r="G260" i="1"/>
  <c r="H260" i="1"/>
  <c r="I260" i="1"/>
  <c r="G262" i="1"/>
  <c r="G263" i="1" s="1"/>
  <c r="H262" i="1"/>
  <c r="H263" i="1" s="1"/>
  <c r="I262" i="1"/>
  <c r="I263" i="1" s="1"/>
  <c r="J262" i="1"/>
  <c r="J263" i="1" s="1"/>
  <c r="K262" i="1"/>
  <c r="K263" i="1" s="1"/>
  <c r="L262" i="1"/>
  <c r="L263" i="1" s="1"/>
  <c r="M262" i="1"/>
  <c r="N262" i="1"/>
  <c r="O262" i="1"/>
  <c r="M263" i="1"/>
  <c r="N263" i="1"/>
  <c r="O263" i="1"/>
  <c r="F263" i="1"/>
  <c r="F260" i="1"/>
  <c r="F262" i="1"/>
  <c r="F259" i="1"/>
  <c r="K251" i="1"/>
  <c r="L251" i="1"/>
  <c r="M251" i="1"/>
  <c r="N251" i="1"/>
  <c r="O251" i="1"/>
  <c r="G246" i="1"/>
  <c r="G267" i="1" s="1"/>
  <c r="H246" i="1"/>
  <c r="H267" i="1" s="1"/>
  <c r="I246" i="1"/>
  <c r="I267" i="1" s="1"/>
  <c r="J246" i="1"/>
  <c r="J267" i="1" s="1"/>
  <c r="K246" i="1"/>
  <c r="K267" i="1" s="1"/>
  <c r="L246" i="1"/>
  <c r="L267" i="1" s="1"/>
  <c r="M246" i="1"/>
  <c r="N246" i="1"/>
  <c r="O246" i="1"/>
  <c r="O267" i="1" s="1"/>
  <c r="G247" i="1"/>
  <c r="H247" i="1"/>
  <c r="I247" i="1"/>
  <c r="J247" i="1"/>
  <c r="K247" i="1"/>
  <c r="L247" i="1"/>
  <c r="M247" i="1"/>
  <c r="N247" i="1"/>
  <c r="O247" i="1"/>
  <c r="F247" i="1"/>
  <c r="F246" i="1"/>
  <c r="F267" i="1" s="1"/>
  <c r="L244" i="1"/>
  <c r="M244" i="1" s="1"/>
  <c r="N244" i="1" s="1"/>
  <c r="O244" i="1" s="1"/>
  <c r="G244" i="1"/>
  <c r="H244" i="1" s="1"/>
  <c r="I244" i="1" s="1"/>
  <c r="J244" i="1" s="1"/>
  <c r="O231" i="1"/>
  <c r="N231" i="1"/>
  <c r="M231" i="1"/>
  <c r="L231" i="1"/>
  <c r="K231" i="1"/>
  <c r="J231" i="1"/>
  <c r="I231" i="1"/>
  <c r="H231" i="1"/>
  <c r="G231" i="1"/>
  <c r="O230" i="1"/>
  <c r="N230" i="1"/>
  <c r="M230" i="1"/>
  <c r="L230" i="1"/>
  <c r="K230" i="1"/>
  <c r="J230" i="1"/>
  <c r="I230" i="1"/>
  <c r="H230" i="1"/>
  <c r="G230" i="1"/>
  <c r="O229" i="1"/>
  <c r="N229" i="1"/>
  <c r="M229" i="1"/>
  <c r="L229" i="1"/>
  <c r="K229" i="1"/>
  <c r="J229" i="1"/>
  <c r="I229" i="1"/>
  <c r="H229" i="1"/>
  <c r="G229" i="1"/>
  <c r="O228" i="1"/>
  <c r="N228" i="1"/>
  <c r="M228" i="1"/>
  <c r="L228" i="1"/>
  <c r="K228" i="1"/>
  <c r="J228" i="1"/>
  <c r="I228" i="1"/>
  <c r="H228" i="1"/>
  <c r="G228" i="1"/>
  <c r="O227" i="1"/>
  <c r="N227" i="1"/>
  <c r="M227" i="1"/>
  <c r="L227" i="1"/>
  <c r="K227" i="1"/>
  <c r="J227" i="1"/>
  <c r="I227" i="1"/>
  <c r="H227" i="1"/>
  <c r="G227" i="1"/>
  <c r="O224" i="1"/>
  <c r="N224" i="1"/>
  <c r="M224" i="1"/>
  <c r="L224" i="1"/>
  <c r="K224" i="1"/>
  <c r="J224" i="1"/>
  <c r="I224" i="1"/>
  <c r="H224" i="1"/>
  <c r="G224" i="1"/>
  <c r="O223" i="1"/>
  <c r="N223" i="1"/>
  <c r="M223" i="1"/>
  <c r="L223" i="1"/>
  <c r="K223" i="1"/>
  <c r="J223" i="1"/>
  <c r="I223" i="1"/>
  <c r="H223" i="1"/>
  <c r="G223" i="1"/>
  <c r="O222" i="1"/>
  <c r="N222" i="1"/>
  <c r="M222" i="1"/>
  <c r="L222" i="1"/>
  <c r="K222" i="1"/>
  <c r="J222" i="1"/>
  <c r="I222" i="1"/>
  <c r="H222" i="1"/>
  <c r="G222" i="1"/>
  <c r="O221" i="1"/>
  <c r="N221" i="1"/>
  <c r="M221" i="1"/>
  <c r="L221" i="1"/>
  <c r="K221" i="1"/>
  <c r="J221" i="1"/>
  <c r="I221" i="1"/>
  <c r="H221" i="1"/>
  <c r="G221" i="1"/>
  <c r="O220" i="1"/>
  <c r="N220" i="1"/>
  <c r="M220" i="1"/>
  <c r="L220" i="1"/>
  <c r="K220" i="1"/>
  <c r="J220" i="1"/>
  <c r="I220" i="1"/>
  <c r="H220" i="1"/>
  <c r="G220" i="1"/>
  <c r="O210" i="1"/>
  <c r="O217" i="1" s="1"/>
  <c r="N210" i="1"/>
  <c r="M210" i="1"/>
  <c r="M213" i="1" s="1"/>
  <c r="L210" i="1"/>
  <c r="L213" i="1" s="1"/>
  <c r="K210" i="1"/>
  <c r="K214" i="1" s="1"/>
  <c r="J210" i="1"/>
  <c r="J217" i="1" s="1"/>
  <c r="I210" i="1"/>
  <c r="I213" i="1" s="1"/>
  <c r="H210" i="1"/>
  <c r="H217" i="1" s="1"/>
  <c r="G210" i="1"/>
  <c r="G216" i="1" s="1"/>
  <c r="F210" i="1"/>
  <c r="F215" i="1" s="1"/>
  <c r="L202" i="1"/>
  <c r="M202" i="1" s="1"/>
  <c r="N202" i="1" s="1"/>
  <c r="O202" i="1" s="1"/>
  <c r="G202" i="1"/>
  <c r="H202" i="1" s="1"/>
  <c r="I202" i="1" s="1"/>
  <c r="J202" i="1" s="1"/>
  <c r="O193" i="1"/>
  <c r="N193" i="1"/>
  <c r="M193" i="1"/>
  <c r="L193" i="1"/>
  <c r="K193" i="1"/>
  <c r="J193" i="1"/>
  <c r="I193" i="1"/>
  <c r="H193" i="1"/>
  <c r="G193" i="1"/>
  <c r="O192" i="1"/>
  <c r="N192" i="1"/>
  <c r="M192" i="1"/>
  <c r="L192" i="1"/>
  <c r="K192" i="1"/>
  <c r="J192" i="1"/>
  <c r="I192" i="1"/>
  <c r="H192" i="1"/>
  <c r="G192" i="1"/>
  <c r="O191" i="1"/>
  <c r="N191" i="1"/>
  <c r="M191" i="1"/>
  <c r="L191" i="1"/>
  <c r="K191" i="1"/>
  <c r="J191" i="1"/>
  <c r="I191" i="1"/>
  <c r="H191" i="1"/>
  <c r="G191" i="1"/>
  <c r="O188" i="1"/>
  <c r="N188" i="1"/>
  <c r="M188" i="1"/>
  <c r="L188" i="1"/>
  <c r="K188" i="1"/>
  <c r="J188" i="1"/>
  <c r="I188" i="1"/>
  <c r="H188" i="1"/>
  <c r="G188" i="1"/>
  <c r="O187" i="1"/>
  <c r="N187" i="1"/>
  <c r="M187" i="1"/>
  <c r="L187" i="1"/>
  <c r="K187" i="1"/>
  <c r="J187" i="1"/>
  <c r="I187" i="1"/>
  <c r="H187" i="1"/>
  <c r="G187" i="1"/>
  <c r="O186" i="1"/>
  <c r="N186" i="1"/>
  <c r="M186" i="1"/>
  <c r="L186" i="1"/>
  <c r="K186" i="1"/>
  <c r="J186" i="1"/>
  <c r="I186" i="1"/>
  <c r="H186" i="1"/>
  <c r="G186" i="1"/>
  <c r="O177" i="1"/>
  <c r="O182" i="1" s="1"/>
  <c r="N177" i="1"/>
  <c r="N182" i="1" s="1"/>
  <c r="M177" i="1"/>
  <c r="M181" i="1" s="1"/>
  <c r="L177" i="1"/>
  <c r="L181" i="1" s="1"/>
  <c r="K177" i="1"/>
  <c r="J177" i="1"/>
  <c r="I177" i="1"/>
  <c r="H177" i="1"/>
  <c r="G177" i="1"/>
  <c r="G181" i="1" s="1"/>
  <c r="F177" i="1"/>
  <c r="F181" i="1" s="1"/>
  <c r="L171" i="1"/>
  <c r="M171" i="1" s="1"/>
  <c r="N171" i="1" s="1"/>
  <c r="O171" i="1" s="1"/>
  <c r="G171" i="1"/>
  <c r="H171" i="1" s="1"/>
  <c r="I171" i="1" s="1"/>
  <c r="J171" i="1" s="1"/>
  <c r="L80" i="2"/>
  <c r="M80" i="2" s="1"/>
  <c r="N80" i="2" s="1"/>
  <c r="O80" i="2" s="1"/>
  <c r="G80" i="2"/>
  <c r="H80" i="2" s="1"/>
  <c r="I80" i="2" s="1"/>
  <c r="J80" i="2" s="1"/>
  <c r="L7" i="2"/>
  <c r="M7" i="2" s="1"/>
  <c r="N7" i="2" s="1"/>
  <c r="O7" i="2" s="1"/>
  <c r="G7" i="2"/>
  <c r="H7" i="2" s="1"/>
  <c r="I7" i="2" s="1"/>
  <c r="J7" i="2" s="1"/>
  <c r="L38" i="2"/>
  <c r="M38" i="2" s="1"/>
  <c r="N38" i="2" s="1"/>
  <c r="O38" i="2" s="1"/>
  <c r="G38" i="2"/>
  <c r="H38" i="2" s="1"/>
  <c r="I38" i="2" s="1"/>
  <c r="J38" i="2" s="1"/>
  <c r="G64" i="2"/>
  <c r="H64" i="2"/>
  <c r="I64" i="2"/>
  <c r="J64" i="2"/>
  <c r="K64" i="2"/>
  <c r="L64" i="2"/>
  <c r="M64" i="2"/>
  <c r="N64" i="2"/>
  <c r="O64" i="2"/>
  <c r="G65" i="2"/>
  <c r="H65" i="2"/>
  <c r="I65" i="2"/>
  <c r="J65" i="2"/>
  <c r="K65" i="2"/>
  <c r="L65" i="2"/>
  <c r="M65" i="2"/>
  <c r="N65" i="2"/>
  <c r="O65" i="2"/>
  <c r="G66" i="2"/>
  <c r="H66" i="2"/>
  <c r="I66" i="2"/>
  <c r="J66" i="2"/>
  <c r="K66" i="2"/>
  <c r="L66" i="2"/>
  <c r="M66" i="2"/>
  <c r="N66" i="2"/>
  <c r="O66" i="2"/>
  <c r="G67" i="2"/>
  <c r="H67" i="2"/>
  <c r="I67" i="2"/>
  <c r="J67" i="2"/>
  <c r="K67" i="2"/>
  <c r="L67" i="2"/>
  <c r="M67" i="2"/>
  <c r="N67" i="2"/>
  <c r="O67" i="2"/>
  <c r="H63" i="2"/>
  <c r="I63" i="2"/>
  <c r="J63" i="2"/>
  <c r="K63" i="2"/>
  <c r="L63" i="2"/>
  <c r="M63" i="2"/>
  <c r="N63" i="2"/>
  <c r="O63" i="2"/>
  <c r="G63" i="2"/>
  <c r="H27" i="2"/>
  <c r="I27" i="2"/>
  <c r="J27" i="2"/>
  <c r="K27" i="2"/>
  <c r="L27" i="2"/>
  <c r="M27" i="2"/>
  <c r="N27" i="2"/>
  <c r="O27" i="2"/>
  <c r="H28" i="2"/>
  <c r="I28" i="2"/>
  <c r="J28" i="2"/>
  <c r="K28" i="2"/>
  <c r="L28" i="2"/>
  <c r="M28" i="2"/>
  <c r="N28" i="2"/>
  <c r="O28" i="2"/>
  <c r="H29" i="2"/>
  <c r="I29" i="2"/>
  <c r="J29" i="2"/>
  <c r="K29" i="2"/>
  <c r="L29" i="2"/>
  <c r="M29" i="2"/>
  <c r="N29" i="2"/>
  <c r="O29" i="2"/>
  <c r="G28" i="2"/>
  <c r="G29" i="2"/>
  <c r="G27" i="2"/>
  <c r="H56" i="2"/>
  <c r="I56" i="2"/>
  <c r="J56" i="2"/>
  <c r="K56" i="2"/>
  <c r="L56" i="2"/>
  <c r="M56" i="2"/>
  <c r="N56" i="2"/>
  <c r="O56" i="2"/>
  <c r="H57" i="2"/>
  <c r="I57" i="2"/>
  <c r="J57" i="2"/>
  <c r="K57" i="2"/>
  <c r="L57" i="2"/>
  <c r="M57" i="2"/>
  <c r="N57" i="2"/>
  <c r="O57" i="2"/>
  <c r="H58" i="2"/>
  <c r="I58" i="2"/>
  <c r="J58" i="2"/>
  <c r="K58" i="2"/>
  <c r="L58" i="2"/>
  <c r="M58" i="2"/>
  <c r="N58" i="2"/>
  <c r="O58" i="2"/>
  <c r="H59" i="2"/>
  <c r="I59" i="2"/>
  <c r="J59" i="2"/>
  <c r="K59" i="2"/>
  <c r="L59" i="2"/>
  <c r="M59" i="2"/>
  <c r="N59" i="2"/>
  <c r="O59" i="2"/>
  <c r="H60" i="2"/>
  <c r="I60" i="2"/>
  <c r="J60" i="2"/>
  <c r="K60" i="2"/>
  <c r="L60" i="2"/>
  <c r="M60" i="2"/>
  <c r="N60" i="2"/>
  <c r="O60" i="2"/>
  <c r="G57" i="2"/>
  <c r="G58" i="2"/>
  <c r="G59" i="2"/>
  <c r="G60" i="2"/>
  <c r="G56" i="2"/>
  <c r="H22" i="2"/>
  <c r="I22" i="2"/>
  <c r="J22" i="2"/>
  <c r="K22" i="2"/>
  <c r="L22" i="2"/>
  <c r="M22" i="2"/>
  <c r="N22" i="2"/>
  <c r="O22" i="2"/>
  <c r="H23" i="2"/>
  <c r="I23" i="2"/>
  <c r="J23" i="2"/>
  <c r="K23" i="2"/>
  <c r="L23" i="2"/>
  <c r="M23" i="2"/>
  <c r="N23" i="2"/>
  <c r="O23" i="2"/>
  <c r="H24" i="2"/>
  <c r="I24" i="2"/>
  <c r="J24" i="2"/>
  <c r="K24" i="2"/>
  <c r="L24" i="2"/>
  <c r="M24" i="2"/>
  <c r="N24" i="2"/>
  <c r="O24" i="2"/>
  <c r="G23" i="2"/>
  <c r="G24" i="2"/>
  <c r="G22" i="2"/>
  <c r="I13" i="2"/>
  <c r="I19" i="2" s="1"/>
  <c r="G46" i="2"/>
  <c r="G51" i="2" s="1"/>
  <c r="H46" i="2"/>
  <c r="H52" i="2" s="1"/>
  <c r="I46" i="2"/>
  <c r="I52" i="2" s="1"/>
  <c r="J46" i="2"/>
  <c r="J52" i="2" s="1"/>
  <c r="K46" i="2"/>
  <c r="K49" i="2" s="1"/>
  <c r="L46" i="2"/>
  <c r="L52" i="2" s="1"/>
  <c r="M46" i="2"/>
  <c r="M52" i="2" s="1"/>
  <c r="N46" i="2"/>
  <c r="N50" i="2" s="1"/>
  <c r="O46" i="2"/>
  <c r="O50" i="2" s="1"/>
  <c r="F46" i="2"/>
  <c r="F52" i="2" s="1"/>
  <c r="O13" i="2"/>
  <c r="O17" i="2" s="1"/>
  <c r="N13" i="2"/>
  <c r="N17" i="2" s="1"/>
  <c r="M13" i="2"/>
  <c r="M17" i="2" s="1"/>
  <c r="L13" i="2"/>
  <c r="L17" i="2" s="1"/>
  <c r="K13" i="2"/>
  <c r="K19" i="2" s="1"/>
  <c r="J13" i="2"/>
  <c r="J17" i="2" s="1"/>
  <c r="H13" i="2"/>
  <c r="H19" i="2" s="1"/>
  <c r="G13" i="2"/>
  <c r="G19" i="2" s="1"/>
  <c r="G162" i="1"/>
  <c r="H162" i="1"/>
  <c r="I162" i="1"/>
  <c r="J162" i="1"/>
  <c r="K162" i="1"/>
  <c r="L162" i="1"/>
  <c r="M162" i="1"/>
  <c r="N162" i="1"/>
  <c r="O162" i="1"/>
  <c r="F162" i="1"/>
  <c r="G152" i="1"/>
  <c r="H152" i="1"/>
  <c r="I152" i="1"/>
  <c r="J152" i="1"/>
  <c r="K152" i="1"/>
  <c r="L152" i="1"/>
  <c r="M152" i="1"/>
  <c r="N152" i="1"/>
  <c r="O152" i="1"/>
  <c r="F152" i="1"/>
  <c r="F142" i="1"/>
  <c r="G142" i="1"/>
  <c r="H142" i="1"/>
  <c r="I142" i="1"/>
  <c r="J142" i="1"/>
  <c r="K142" i="1"/>
  <c r="L142" i="1"/>
  <c r="M142" i="1"/>
  <c r="N142" i="1"/>
  <c r="O142" i="1"/>
  <c r="G129" i="1"/>
  <c r="H129" i="1"/>
  <c r="I129" i="1"/>
  <c r="J129" i="1"/>
  <c r="K129" i="1"/>
  <c r="L129" i="1"/>
  <c r="M129" i="1"/>
  <c r="N129" i="1"/>
  <c r="O129" i="1"/>
  <c r="F129" i="1"/>
  <c r="K119" i="1"/>
  <c r="L119" i="1"/>
  <c r="M119" i="1"/>
  <c r="N119" i="1"/>
  <c r="O119" i="1"/>
  <c r="G111" i="1"/>
  <c r="H111" i="1"/>
  <c r="I111" i="1"/>
  <c r="J111" i="1"/>
  <c r="G112" i="1"/>
  <c r="H112" i="1"/>
  <c r="I112" i="1"/>
  <c r="J112" i="1"/>
  <c r="F112" i="1"/>
  <c r="F111" i="1"/>
  <c r="L107" i="1"/>
  <c r="M107" i="1" s="1"/>
  <c r="N107" i="1" s="1"/>
  <c r="O107" i="1" s="1"/>
  <c r="G107" i="1"/>
  <c r="H107" i="1" s="1"/>
  <c r="I107" i="1" s="1"/>
  <c r="J107" i="1" s="1"/>
  <c r="K93" i="1"/>
  <c r="L93" i="1"/>
  <c r="M93" i="1"/>
  <c r="N93" i="1"/>
  <c r="O93" i="1"/>
  <c r="F102" i="1"/>
  <c r="G102" i="1"/>
  <c r="H102" i="1"/>
  <c r="I102" i="1"/>
  <c r="J102" i="1"/>
  <c r="K102" i="1"/>
  <c r="L102" i="1"/>
  <c r="M102" i="1"/>
  <c r="N102" i="1"/>
  <c r="O102" i="1"/>
  <c r="E102" i="1"/>
  <c r="F91" i="1" s="1"/>
  <c r="L98" i="1"/>
  <c r="M98" i="1" s="1"/>
  <c r="G98" i="1"/>
  <c r="N267" i="1" l="1"/>
  <c r="M267" i="1"/>
  <c r="J199" i="1"/>
  <c r="O213" i="1"/>
  <c r="N178" i="1"/>
  <c r="N198" i="1"/>
  <c r="J198" i="1"/>
  <c r="M214" i="1"/>
  <c r="O198" i="1"/>
  <c r="O197" i="1"/>
  <c r="K235" i="1"/>
  <c r="N237" i="1"/>
  <c r="M238" i="1"/>
  <c r="L178" i="1"/>
  <c r="K238" i="1"/>
  <c r="O215" i="1"/>
  <c r="K213" i="1"/>
  <c r="J213" i="1"/>
  <c r="N197" i="1"/>
  <c r="K216" i="1"/>
  <c r="M178" i="1"/>
  <c r="O237" i="1"/>
  <c r="N215" i="1"/>
  <c r="K237" i="1"/>
  <c r="M215" i="1"/>
  <c r="N181" i="1"/>
  <c r="J237" i="1"/>
  <c r="J215" i="1"/>
  <c r="H198" i="1"/>
  <c r="O181" i="1"/>
  <c r="J232" i="1"/>
  <c r="M235" i="1"/>
  <c r="O214" i="1"/>
  <c r="J197" i="1"/>
  <c r="O238" i="1"/>
  <c r="F154" i="1"/>
  <c r="F164" i="1" s="1"/>
  <c r="N238" i="1"/>
  <c r="G236" i="1"/>
  <c r="H183" i="1"/>
  <c r="K178" i="1"/>
  <c r="I237" i="1"/>
  <c r="N217" i="1"/>
  <c r="N214" i="1"/>
  <c r="O232" i="1"/>
  <c r="O236" i="1"/>
  <c r="I217" i="1"/>
  <c r="N199" i="1"/>
  <c r="G239" i="1"/>
  <c r="K236" i="1"/>
  <c r="L232" i="1"/>
  <c r="M199" i="1"/>
  <c r="O239" i="1"/>
  <c r="O235" i="1"/>
  <c r="O216" i="1"/>
  <c r="I198" i="1"/>
  <c r="G183" i="1"/>
  <c r="N194" i="1"/>
  <c r="O194" i="1"/>
  <c r="L199" i="1"/>
  <c r="K239" i="1"/>
  <c r="N235" i="1"/>
  <c r="N216" i="1"/>
  <c r="G238" i="1"/>
  <c r="F216" i="1"/>
  <c r="H232" i="1"/>
  <c r="K199" i="1"/>
  <c r="L238" i="1"/>
  <c r="H237" i="1"/>
  <c r="L235" i="1"/>
  <c r="F217" i="1"/>
  <c r="L214" i="1"/>
  <c r="G232" i="1"/>
  <c r="G217" i="1"/>
  <c r="G178" i="1"/>
  <c r="H178" i="1"/>
  <c r="H181" i="1"/>
  <c r="H213" i="1"/>
  <c r="I178" i="1"/>
  <c r="G194" i="1"/>
  <c r="M194" i="1"/>
  <c r="M232" i="1"/>
  <c r="I199" i="1"/>
  <c r="M197" i="1"/>
  <c r="N239" i="1"/>
  <c r="J238" i="1"/>
  <c r="N236" i="1"/>
  <c r="J235" i="1"/>
  <c r="G213" i="1"/>
  <c r="L215" i="1"/>
  <c r="J214" i="1"/>
  <c r="J178" i="1"/>
  <c r="H194" i="1"/>
  <c r="K232" i="1"/>
  <c r="N232" i="1"/>
  <c r="L197" i="1"/>
  <c r="M239" i="1"/>
  <c r="I238" i="1"/>
  <c r="M236" i="1"/>
  <c r="I235" i="1"/>
  <c r="M216" i="1"/>
  <c r="K215" i="1"/>
  <c r="I214" i="1"/>
  <c r="K197" i="1"/>
  <c r="H238" i="1"/>
  <c r="H235" i="1"/>
  <c r="G197" i="1"/>
  <c r="F213" i="1"/>
  <c r="M217" i="1"/>
  <c r="G214" i="1"/>
  <c r="M198" i="1"/>
  <c r="M182" i="1"/>
  <c r="G198" i="1"/>
  <c r="L198" i="1"/>
  <c r="H197" i="1"/>
  <c r="I239" i="1"/>
  <c r="M237" i="1"/>
  <c r="I236" i="1"/>
  <c r="N213" i="1"/>
  <c r="K217" i="1"/>
  <c r="I216" i="1"/>
  <c r="G215" i="1"/>
  <c r="G237" i="1"/>
  <c r="F182" i="1"/>
  <c r="I194" i="1"/>
  <c r="L239" i="1"/>
  <c r="L236" i="1"/>
  <c r="L216" i="1"/>
  <c r="H214" i="1"/>
  <c r="G182" i="1"/>
  <c r="J194" i="1"/>
  <c r="I215" i="1"/>
  <c r="J154" i="1"/>
  <c r="J164" i="1" s="1"/>
  <c r="H182" i="1"/>
  <c r="K194" i="1"/>
  <c r="G199" i="1"/>
  <c r="I197" i="1"/>
  <c r="J239" i="1"/>
  <c r="J236" i="1"/>
  <c r="L217" i="1"/>
  <c r="J216" i="1"/>
  <c r="H215" i="1"/>
  <c r="F214" i="1"/>
  <c r="I154" i="1"/>
  <c r="I164" i="1" s="1"/>
  <c r="L194" i="1"/>
  <c r="H154" i="1"/>
  <c r="H164" i="1" s="1"/>
  <c r="F183" i="1"/>
  <c r="O199" i="1"/>
  <c r="K198" i="1"/>
  <c r="G235" i="1"/>
  <c r="H239" i="1"/>
  <c r="L237" i="1"/>
  <c r="H236" i="1"/>
  <c r="H216" i="1"/>
  <c r="O178" i="1"/>
  <c r="I183" i="1"/>
  <c r="J183" i="1"/>
  <c r="K183" i="1"/>
  <c r="J182" i="1"/>
  <c r="L183" i="1"/>
  <c r="I181" i="1"/>
  <c r="K182" i="1"/>
  <c r="M183" i="1"/>
  <c r="I182" i="1"/>
  <c r="J181" i="1"/>
  <c r="L182" i="1"/>
  <c r="N183" i="1"/>
  <c r="I232" i="1"/>
  <c r="K181" i="1"/>
  <c r="O183" i="1"/>
  <c r="K68" i="2"/>
  <c r="K73" i="2"/>
  <c r="J68" i="2"/>
  <c r="I68" i="2"/>
  <c r="O75" i="2"/>
  <c r="O74" i="2"/>
  <c r="J73" i="2"/>
  <c r="I73" i="2"/>
  <c r="G30" i="2"/>
  <c r="L68" i="2"/>
  <c r="L73" i="2"/>
  <c r="H68" i="2"/>
  <c r="L30" i="2"/>
  <c r="H30" i="2"/>
  <c r="O71" i="2"/>
  <c r="O72" i="2"/>
  <c r="G73" i="2"/>
  <c r="K30" i="2"/>
  <c r="O30" i="2"/>
  <c r="J71" i="2"/>
  <c r="I72" i="2"/>
  <c r="I30" i="2"/>
  <c r="I71" i="2"/>
  <c r="G72" i="2"/>
  <c r="H73" i="2"/>
  <c r="G68" i="2"/>
  <c r="M30" i="2"/>
  <c r="H71" i="2"/>
  <c r="H72" i="2"/>
  <c r="N72" i="2"/>
  <c r="N71" i="2"/>
  <c r="J75" i="2"/>
  <c r="G74" i="2"/>
  <c r="M72" i="2"/>
  <c r="J30" i="2"/>
  <c r="K74" i="2"/>
  <c r="M75" i="2"/>
  <c r="I74" i="2"/>
  <c r="H74" i="2"/>
  <c r="O68" i="2"/>
  <c r="M71" i="2"/>
  <c r="I75" i="2"/>
  <c r="O73" i="2"/>
  <c r="L72" i="2"/>
  <c r="N74" i="2"/>
  <c r="N30" i="2"/>
  <c r="G71" i="2"/>
  <c r="K75" i="2"/>
  <c r="N68" i="2"/>
  <c r="L71" i="2"/>
  <c r="H75" i="2"/>
  <c r="N73" i="2"/>
  <c r="K72" i="2"/>
  <c r="M74" i="2"/>
  <c r="L74" i="2"/>
  <c r="N75" i="2"/>
  <c r="J74" i="2"/>
  <c r="L75" i="2"/>
  <c r="M68" i="2"/>
  <c r="K71" i="2"/>
  <c r="G75" i="2"/>
  <c r="M73" i="2"/>
  <c r="J72" i="2"/>
  <c r="M33" i="2"/>
  <c r="L33" i="2"/>
  <c r="K33" i="2"/>
  <c r="J33" i="2"/>
  <c r="I35" i="2"/>
  <c r="O34" i="2"/>
  <c r="N34" i="2"/>
  <c r="M34" i="2"/>
  <c r="O35" i="2"/>
  <c r="H35" i="2"/>
  <c r="L34" i="2"/>
  <c r="I33" i="2"/>
  <c r="M35" i="2"/>
  <c r="J34" i="2"/>
  <c r="K34" i="2"/>
  <c r="L35" i="2"/>
  <c r="N35" i="2"/>
  <c r="O33" i="2"/>
  <c r="K35" i="2"/>
  <c r="H34" i="2"/>
  <c r="H33" i="2"/>
  <c r="N33" i="2"/>
  <c r="J35" i="2"/>
  <c r="I34" i="2"/>
  <c r="L14" i="2"/>
  <c r="K14" i="2"/>
  <c r="M14" i="2"/>
  <c r="J14" i="2"/>
  <c r="O14" i="2"/>
  <c r="I14" i="2"/>
  <c r="H14" i="2"/>
  <c r="N14" i="2"/>
  <c r="M53" i="2"/>
  <c r="L53" i="2"/>
  <c r="J53" i="2"/>
  <c r="I53" i="2"/>
  <c r="H53" i="2"/>
  <c r="G52" i="2"/>
  <c r="M50" i="2"/>
  <c r="L50" i="2"/>
  <c r="K50" i="2"/>
  <c r="J50" i="2"/>
  <c r="I50" i="2"/>
  <c r="F49" i="2"/>
  <c r="H50" i="2"/>
  <c r="N49" i="2"/>
  <c r="M49" i="2"/>
  <c r="M51" i="2"/>
  <c r="L49" i="2"/>
  <c r="O18" i="2"/>
  <c r="L51" i="2"/>
  <c r="J49" i="2"/>
  <c r="N51" i="2"/>
  <c r="K17" i="2"/>
  <c r="K51" i="2"/>
  <c r="I49" i="2"/>
  <c r="O51" i="2"/>
  <c r="N53" i="2"/>
  <c r="H51" i="2"/>
  <c r="H49" i="2"/>
  <c r="G18" i="2"/>
  <c r="G17" i="2"/>
  <c r="F53" i="2"/>
  <c r="G53" i="2"/>
  <c r="G49" i="2"/>
  <c r="O52" i="2"/>
  <c r="F51" i="2"/>
  <c r="N52" i="2"/>
  <c r="F50" i="2"/>
  <c r="J51" i="2"/>
  <c r="G50" i="2"/>
  <c r="O53" i="2"/>
  <c r="I51" i="2"/>
  <c r="O49" i="2"/>
  <c r="K52" i="2"/>
  <c r="K18" i="2"/>
  <c r="J18" i="2"/>
  <c r="K53" i="2"/>
  <c r="N18" i="2"/>
  <c r="M18" i="2"/>
  <c r="L18" i="2"/>
  <c r="O19" i="2"/>
  <c r="N19" i="2"/>
  <c r="M19" i="2"/>
  <c r="L19" i="2"/>
  <c r="J19" i="2"/>
  <c r="I18" i="2"/>
  <c r="I17" i="2"/>
  <c r="H18" i="2"/>
  <c r="H17" i="2"/>
  <c r="L131" i="1"/>
  <c r="J119" i="1"/>
  <c r="J131" i="1" s="1"/>
  <c r="K131" i="1"/>
  <c r="N154" i="1"/>
  <c r="N164" i="1" s="1"/>
  <c r="L154" i="1"/>
  <c r="L164" i="1" s="1"/>
  <c r="K154" i="1"/>
  <c r="K164" i="1" s="1"/>
  <c r="O154" i="1"/>
  <c r="O164" i="1" s="1"/>
  <c r="M154" i="1"/>
  <c r="M164" i="1" s="1"/>
  <c r="G154" i="1"/>
  <c r="G164" i="1" s="1"/>
  <c r="F119" i="1"/>
  <c r="F131" i="1" s="1"/>
  <c r="H119" i="1"/>
  <c r="H131" i="1" s="1"/>
  <c r="G119" i="1"/>
  <c r="G131" i="1" s="1"/>
  <c r="I119" i="1"/>
  <c r="I131" i="1" s="1"/>
  <c r="O131" i="1"/>
  <c r="N131" i="1"/>
  <c r="M131" i="1"/>
  <c r="N98" i="1"/>
  <c r="H98" i="1"/>
  <c r="F166" i="1" l="1"/>
  <c r="O166" i="1"/>
  <c r="G166" i="1"/>
  <c r="J166" i="1"/>
  <c r="L166" i="1"/>
  <c r="M166" i="1"/>
  <c r="K166" i="1"/>
  <c r="H166" i="1"/>
  <c r="I166" i="1"/>
  <c r="N166" i="1"/>
  <c r="O98" i="1"/>
  <c r="I98" i="1"/>
  <c r="J98" i="1" l="1"/>
  <c r="G88" i="1" l="1"/>
  <c r="H88" i="1"/>
  <c r="I88" i="1"/>
  <c r="J88" i="1"/>
  <c r="K88" i="1"/>
  <c r="L88" i="1"/>
  <c r="M88" i="1"/>
  <c r="N88" i="1"/>
  <c r="O88" i="1"/>
  <c r="F88" i="1"/>
  <c r="G76" i="1"/>
  <c r="H76" i="1"/>
  <c r="I76" i="1"/>
  <c r="J76" i="1"/>
  <c r="K76" i="1"/>
  <c r="L76" i="1"/>
  <c r="M76" i="1"/>
  <c r="N76" i="1"/>
  <c r="O76" i="1"/>
  <c r="F76" i="1"/>
  <c r="G48" i="1"/>
  <c r="H48" i="1"/>
  <c r="I48" i="1"/>
  <c r="J48" i="1"/>
  <c r="F48" i="1"/>
  <c r="L40" i="1"/>
  <c r="M40" i="1" s="1"/>
  <c r="N40" i="1" s="1"/>
  <c r="O40" i="1" s="1"/>
  <c r="G40" i="1"/>
  <c r="H40" i="1" s="1"/>
  <c r="I40" i="1" s="1"/>
  <c r="J40" i="1" s="1"/>
  <c r="G22" i="1"/>
  <c r="H22" i="1"/>
  <c r="I22" i="1"/>
  <c r="J22" i="1"/>
  <c r="K22" i="1"/>
  <c r="K255" i="1" s="1"/>
  <c r="L22" i="1"/>
  <c r="L255" i="1" s="1"/>
  <c r="M22" i="1"/>
  <c r="M255" i="1" s="1"/>
  <c r="N22" i="1"/>
  <c r="N255" i="1" s="1"/>
  <c r="O22" i="1"/>
  <c r="O255" i="1" s="1"/>
  <c r="F22" i="1"/>
  <c r="G30" i="1"/>
  <c r="H30" i="1"/>
  <c r="I30" i="1"/>
  <c r="J30" i="1"/>
  <c r="K30" i="1"/>
  <c r="L30" i="1"/>
  <c r="M30" i="1"/>
  <c r="N30" i="1"/>
  <c r="O30" i="1"/>
  <c r="F30" i="1"/>
  <c r="G18" i="1"/>
  <c r="G251" i="1" s="1"/>
  <c r="H18" i="1"/>
  <c r="H251" i="1" s="1"/>
  <c r="I18" i="1"/>
  <c r="I251" i="1" s="1"/>
  <c r="J18" i="1"/>
  <c r="J251" i="1" s="1"/>
  <c r="F18" i="1"/>
  <c r="F251" i="1" s="1"/>
  <c r="H47" i="1" l="1"/>
  <c r="H255" i="1"/>
  <c r="J47" i="1"/>
  <c r="J255" i="1"/>
  <c r="I47" i="1"/>
  <c r="I255" i="1"/>
  <c r="G47" i="1"/>
  <c r="G255" i="1"/>
  <c r="F47" i="1"/>
  <c r="F255" i="1"/>
  <c r="G12" i="1"/>
  <c r="H12" i="1"/>
  <c r="I12" i="1"/>
  <c r="J12" i="1"/>
  <c r="K12" i="1"/>
  <c r="L12" i="1"/>
  <c r="M12" i="1"/>
  <c r="N12" i="1"/>
  <c r="O12" i="1"/>
  <c r="F12" i="1"/>
  <c r="L8" i="1"/>
  <c r="M8" i="1" s="1"/>
  <c r="N8" i="1" s="1"/>
  <c r="O8" i="1" s="1"/>
  <c r="G8" i="1"/>
  <c r="H8" i="1" s="1"/>
  <c r="I8" i="1" s="1"/>
  <c r="J8" i="1" s="1"/>
  <c r="M20" i="1" l="1"/>
  <c r="M252" i="1" s="1"/>
  <c r="M253" i="1" s="1"/>
  <c r="M248" i="1"/>
  <c r="M249" i="1" s="1"/>
  <c r="H20" i="1"/>
  <c r="H248" i="1"/>
  <c r="H249" i="1" s="1"/>
  <c r="G20" i="1"/>
  <c r="G248" i="1"/>
  <c r="G249" i="1" s="1"/>
  <c r="F20" i="1"/>
  <c r="F252" i="1" s="1"/>
  <c r="F253" i="1" s="1"/>
  <c r="F248" i="1"/>
  <c r="F249" i="1" s="1"/>
  <c r="O20" i="1"/>
  <c r="O248" i="1"/>
  <c r="O249" i="1" s="1"/>
  <c r="N20" i="1"/>
  <c r="N248" i="1"/>
  <c r="N249" i="1" s="1"/>
  <c r="L20" i="1"/>
  <c r="L252" i="1" s="1"/>
  <c r="L253" i="1" s="1"/>
  <c r="L248" i="1"/>
  <c r="L249" i="1" s="1"/>
  <c r="K20" i="1"/>
  <c r="K252" i="1" s="1"/>
  <c r="K253" i="1" s="1"/>
  <c r="K248" i="1"/>
  <c r="K249" i="1" s="1"/>
  <c r="J20" i="1"/>
  <c r="J252" i="1" s="1"/>
  <c r="J253" i="1" s="1"/>
  <c r="J248" i="1"/>
  <c r="J249" i="1" s="1"/>
  <c r="I20" i="1"/>
  <c r="I248" i="1"/>
  <c r="I249" i="1" s="1"/>
  <c r="J24" i="1"/>
  <c r="J256" i="1" s="1"/>
  <c r="J257" i="1" s="1"/>
  <c r="J32" i="1"/>
  <c r="J35" i="1" s="1"/>
  <c r="J44" i="1" s="1"/>
  <c r="J67" i="1" s="1"/>
  <c r="J92" i="1" s="1"/>
  <c r="F32" i="1"/>
  <c r="F35" i="1" s="1"/>
  <c r="F44" i="1" s="1"/>
  <c r="F67" i="1" s="1"/>
  <c r="F92" i="1" s="1"/>
  <c r="F93" i="1" s="1"/>
  <c r="G91" i="1" s="1"/>
  <c r="F24" i="1"/>
  <c r="F256" i="1" s="1"/>
  <c r="F257" i="1" s="1"/>
  <c r="K24" i="1" l="1"/>
  <c r="K256" i="1" s="1"/>
  <c r="K257" i="1" s="1"/>
  <c r="K32" i="1"/>
  <c r="K35" i="1" s="1"/>
  <c r="K44" i="1" s="1"/>
  <c r="K67" i="1" s="1"/>
  <c r="O32" i="1"/>
  <c r="O35" i="1" s="1"/>
  <c r="O44" i="1" s="1"/>
  <c r="O67" i="1" s="1"/>
  <c r="O252" i="1"/>
  <c r="O253" i="1" s="1"/>
  <c r="N24" i="1"/>
  <c r="N256" i="1" s="1"/>
  <c r="N257" i="1" s="1"/>
  <c r="N252" i="1"/>
  <c r="N253" i="1" s="1"/>
  <c r="I24" i="1"/>
  <c r="I256" i="1" s="1"/>
  <c r="I257" i="1" s="1"/>
  <c r="I252" i="1"/>
  <c r="I253" i="1" s="1"/>
  <c r="M24" i="1"/>
  <c r="M256" i="1" s="1"/>
  <c r="M257" i="1" s="1"/>
  <c r="G32" i="1"/>
  <c r="G35" i="1" s="1"/>
  <c r="G44" i="1" s="1"/>
  <c r="G67" i="1" s="1"/>
  <c r="G92" i="1" s="1"/>
  <c r="G93" i="1" s="1"/>
  <c r="H91" i="1" s="1"/>
  <c r="G252" i="1"/>
  <c r="G253" i="1" s="1"/>
  <c r="L32" i="1"/>
  <c r="L35" i="1" s="1"/>
  <c r="L44" i="1" s="1"/>
  <c r="L67" i="1" s="1"/>
  <c r="H24" i="1"/>
  <c r="H256" i="1" s="1"/>
  <c r="H257" i="1" s="1"/>
  <c r="H252" i="1"/>
  <c r="H253" i="1" s="1"/>
  <c r="M32" i="1"/>
  <c r="M35" i="1" s="1"/>
  <c r="M44" i="1" s="1"/>
  <c r="M67" i="1" s="1"/>
  <c r="L24" i="1"/>
  <c r="L256" i="1" s="1"/>
  <c r="L257" i="1" s="1"/>
  <c r="G24" i="1"/>
  <c r="G256" i="1" s="1"/>
  <c r="G257" i="1" s="1"/>
  <c r="H32" i="1"/>
  <c r="H35" i="1" s="1"/>
  <c r="H44" i="1" s="1"/>
  <c r="H67" i="1" s="1"/>
  <c r="H92" i="1" s="1"/>
  <c r="O24" i="1"/>
  <c r="O256" i="1" s="1"/>
  <c r="O257" i="1" s="1"/>
  <c r="N32" i="1"/>
  <c r="N35" i="1" s="1"/>
  <c r="N44" i="1" s="1"/>
  <c r="N67" i="1" s="1"/>
  <c r="I32" i="1"/>
  <c r="I35" i="1" s="1"/>
  <c r="I44" i="1" s="1"/>
  <c r="I67" i="1" s="1"/>
  <c r="I92" i="1" s="1"/>
  <c r="H93" i="1" l="1"/>
  <c r="I91" i="1" s="1"/>
  <c r="I93" i="1" s="1"/>
  <c r="J91" i="1" s="1"/>
  <c r="J93" i="1" s="1"/>
  <c r="F13" i="2"/>
  <c r="G14" i="2" l="1"/>
  <c r="G34" i="2"/>
  <c r="G33" i="2"/>
  <c r="G35" i="2"/>
  <c r="F19" i="2"/>
  <c r="F18" i="2"/>
  <c r="F17" i="2"/>
</calcChain>
</file>

<file path=xl/sharedStrings.xml><?xml version="1.0" encoding="utf-8"?>
<sst xmlns="http://schemas.openxmlformats.org/spreadsheetml/2006/main" count="273" uniqueCount="158">
  <si>
    <t>Income Statement</t>
  </si>
  <si>
    <t>Net Sales</t>
  </si>
  <si>
    <t>Cost of Sales</t>
  </si>
  <si>
    <t>Gross Profit</t>
  </si>
  <si>
    <t>Operating Expenses:</t>
  </si>
  <si>
    <t>Research, Development, and Engineering Expense</t>
  </si>
  <si>
    <t>SG&amp;A</t>
  </si>
  <si>
    <t>Amortization of Intangible Assets</t>
  </si>
  <si>
    <t>Total Operating Expenses</t>
  </si>
  <si>
    <t>EBIT</t>
  </si>
  <si>
    <t>EBITDA</t>
  </si>
  <si>
    <t>Taxes</t>
  </si>
  <si>
    <t>Net Income (Loss)</t>
  </si>
  <si>
    <t>Depreciation</t>
  </si>
  <si>
    <t>Amortization</t>
  </si>
  <si>
    <t>Interest Expense</t>
  </si>
  <si>
    <t>Loss On Debt Extinguishment and Modifications</t>
  </si>
  <si>
    <t>Other Expenses (Income)</t>
  </si>
  <si>
    <t>EBT</t>
  </si>
  <si>
    <t>Other Expenses, Net:</t>
  </si>
  <si>
    <t>Total Other Expenses, Net</t>
  </si>
  <si>
    <t>Net Income</t>
  </si>
  <si>
    <t>Non Cash Operating Activities:</t>
  </si>
  <si>
    <t>Stock-Based Compensation</t>
  </si>
  <si>
    <t>Deferred Income Taxes</t>
  </si>
  <si>
    <t>Other Adjustments, Net</t>
  </si>
  <si>
    <t>Accounts Receivables, Net</t>
  </si>
  <si>
    <t>Inventory</t>
  </si>
  <si>
    <t>Prepaid Expenses and Other Assets</t>
  </si>
  <si>
    <t>Accounts Payable</t>
  </si>
  <si>
    <t>Accrued Expenses</t>
  </si>
  <si>
    <t>Other Non-Current Liabilities</t>
  </si>
  <si>
    <t>Changes in Operating Assets and Liabilities:</t>
  </si>
  <si>
    <t>Income Taxes Reveivable</t>
  </si>
  <si>
    <t>Provisions for Losses in Accounts Receivables</t>
  </si>
  <si>
    <t>Increase in Allowance for Inventory Obsolescence</t>
  </si>
  <si>
    <t>Cash Flows Statement</t>
  </si>
  <si>
    <t>Noncash Lease Expenses</t>
  </si>
  <si>
    <t>Amortization of Financing Fees</t>
  </si>
  <si>
    <t>Contract Assets</t>
  </si>
  <si>
    <t>Other Assets</t>
  </si>
  <si>
    <t>Cash From Investing:</t>
  </si>
  <si>
    <t>Cash From Operations:</t>
  </si>
  <si>
    <t>Capital Expenditures</t>
  </si>
  <si>
    <t>Return of Investment in Joint Venture</t>
  </si>
  <si>
    <t>Proceeds from Corporate-Owned Life Insurance</t>
  </si>
  <si>
    <t>Other Investing Activities, Net</t>
  </si>
  <si>
    <t>Proceeds from Disposal of Assets</t>
  </si>
  <si>
    <t>Cash from Investing</t>
  </si>
  <si>
    <t>Cash from Operations</t>
  </si>
  <si>
    <t>Cash From Financing Activities:</t>
  </si>
  <si>
    <t>Repayment of Debt</t>
  </si>
  <si>
    <t>Repayment of Long-Term Debt and Lease Liabilities</t>
  </si>
  <si>
    <t>Proceeds from Short-Term Financings</t>
  </si>
  <si>
    <t>Repayment of Short-Term Financings</t>
  </si>
  <si>
    <t>Payments of Deferred Financing Costs</t>
  </si>
  <si>
    <t>Other Financing Activities, Net</t>
  </si>
  <si>
    <t>Cash from Financing</t>
  </si>
  <si>
    <t>Repurchases to Settle Tax Withhholding Obligations for SBC Awards</t>
  </si>
  <si>
    <t>Cash Balance:</t>
  </si>
  <si>
    <t>Beginning Cash Balance</t>
  </si>
  <si>
    <t>Ending Cash Balance</t>
  </si>
  <si>
    <t>Proceeds from Debt Financings</t>
  </si>
  <si>
    <t>Cash, Restricted Cash, and Cash Equivalents</t>
  </si>
  <si>
    <t>Cash and Cash Equivalents</t>
  </si>
  <si>
    <t>Restricted Cash</t>
  </si>
  <si>
    <t>Increase (Decrease) in Cash Balance</t>
  </si>
  <si>
    <t>Balance Sheet</t>
  </si>
  <si>
    <t>Assets:</t>
  </si>
  <si>
    <t>Invoice Tax Receivable</t>
  </si>
  <si>
    <t>Inventories, net</t>
  </si>
  <si>
    <t>Prepaid Expenses</t>
  </si>
  <si>
    <t>Other Current Assets</t>
  </si>
  <si>
    <t>Total Current Assets</t>
  </si>
  <si>
    <t>Accounts Receivable</t>
  </si>
  <si>
    <t>Propertry, Plant, and Equipment, Net</t>
  </si>
  <si>
    <t>Operating Lease Right-of-Use Assets, Net</t>
  </si>
  <si>
    <t>Intangible Assets, Net</t>
  </si>
  <si>
    <t>Goodwill</t>
  </si>
  <si>
    <t>Deferred Tax Assets</t>
  </si>
  <si>
    <t>Customs-Related Deposits</t>
  </si>
  <si>
    <t>Other Non-Crrent Assets</t>
  </si>
  <si>
    <t>Non-Current Assets:</t>
  </si>
  <si>
    <t>Current Assets:</t>
  </si>
  <si>
    <t>Total Non-Current Assets</t>
  </si>
  <si>
    <t>Total Assets</t>
  </si>
  <si>
    <t>Liabilities:</t>
  </si>
  <si>
    <t>Current Liabilities:</t>
  </si>
  <si>
    <t>Current Maturities of Long-Term Debt</t>
  </si>
  <si>
    <t>Other Short-Term Financing</t>
  </si>
  <si>
    <t>Other Accrued Liabilities</t>
  </si>
  <si>
    <t>Total Current Liabilities</t>
  </si>
  <si>
    <t>Long-Term Debt, net of current maturities</t>
  </si>
  <si>
    <t>Revolving Line of Credit, long term</t>
  </si>
  <si>
    <t>Finance Lease Liability, current</t>
  </si>
  <si>
    <t>Revolving Line of Credit, current</t>
  </si>
  <si>
    <t>Operating Lease Liability, current</t>
  </si>
  <si>
    <t>Finance Lease Liability, long term</t>
  </si>
  <si>
    <t>Operating Lease Liability, long term</t>
  </si>
  <si>
    <t>Non-Current Contract Liabilities</t>
  </si>
  <si>
    <t>Non-Current Liabilities:</t>
  </si>
  <si>
    <t>Total Non-Current Liabilities</t>
  </si>
  <si>
    <t>Total Liabilities</t>
  </si>
  <si>
    <t>Shareholders' Equity:</t>
  </si>
  <si>
    <t>Common Stock</t>
  </si>
  <si>
    <t>Additional Paid-In Capital</t>
  </si>
  <si>
    <t>Retained Earnings</t>
  </si>
  <si>
    <t>Treasury Stock</t>
  </si>
  <si>
    <t>Preferred Stock</t>
  </si>
  <si>
    <t>Total Shareholders' Equity</t>
  </si>
  <si>
    <t>Total Liabilities and Shareholders' Equity</t>
  </si>
  <si>
    <t>Balance Sheet Check</t>
  </si>
  <si>
    <t>Revenue</t>
  </si>
  <si>
    <t>Power Systems</t>
  </si>
  <si>
    <t>Industrial</t>
  </si>
  <si>
    <t>Transportation</t>
  </si>
  <si>
    <t>Total Revenue</t>
  </si>
  <si>
    <t>Power Systems International - PSIX</t>
  </si>
  <si>
    <t>By Segment:</t>
  </si>
  <si>
    <t>United States</t>
  </si>
  <si>
    <t>North America</t>
  </si>
  <si>
    <t>Pacific Rim</t>
  </si>
  <si>
    <t>Europe</t>
  </si>
  <si>
    <t>Other</t>
  </si>
  <si>
    <t>By Geographical Area:</t>
  </si>
  <si>
    <t>Segment by % of Revenue:</t>
  </si>
  <si>
    <t>By Geography % of Revenue</t>
  </si>
  <si>
    <t>Segment Growth Rate:</t>
  </si>
  <si>
    <t>Geography Growth Rate:</t>
  </si>
  <si>
    <t>Total Revenue Growth Rate</t>
  </si>
  <si>
    <t>Segment Contribution to Growth:</t>
  </si>
  <si>
    <t>Total Growth</t>
  </si>
  <si>
    <t>Total Geography Growth</t>
  </si>
  <si>
    <t>Geography Contribution to Growth:</t>
  </si>
  <si>
    <t>Margins Analysis</t>
  </si>
  <si>
    <t>By Deep Value Medici</t>
  </si>
  <si>
    <t xml:space="preserve"> </t>
  </si>
  <si>
    <t>Gross Margins</t>
  </si>
  <si>
    <t>Operating Margins</t>
  </si>
  <si>
    <t>COGS</t>
  </si>
  <si>
    <t>Operating Expenses</t>
  </si>
  <si>
    <t>Amortization + Depreciation</t>
  </si>
  <si>
    <t>EBITDA Margin</t>
  </si>
  <si>
    <t>Expenses as a % of Revenue:</t>
  </si>
  <si>
    <t>Interest Epense</t>
  </si>
  <si>
    <t>EBT Margin</t>
  </si>
  <si>
    <t>Net Income Margin</t>
  </si>
  <si>
    <t>R&amp;D</t>
  </si>
  <si>
    <t>Returns</t>
  </si>
  <si>
    <t>Competition Comparables</t>
  </si>
  <si>
    <t>PSIX</t>
  </si>
  <si>
    <t>Cummins</t>
  </si>
  <si>
    <t>Caterpillar</t>
  </si>
  <si>
    <t>Rolls-Royce</t>
  </si>
  <si>
    <t>Innio</t>
  </si>
  <si>
    <t>EV / Sales</t>
  </si>
  <si>
    <t>EV / EBITDA (LTM)</t>
  </si>
  <si>
    <t>ROIC (LTM)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</si>
</sst>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\A"/>
    <numFmt numFmtId="165" formatCode="0&quot;E&quot;"/>
    <numFmt numFmtId="166" formatCode="0.0%"/>
    <numFmt numFmtId="167" formatCode="#,##0.0_);\(#,##0.0\)"/>
  </numFmts>
  <fonts count="10" x14ac:knownFonts="1">
    <font>
      <sz val="10"/>
      <color theme="1"/>
      <name val="Aptos Narrow"/>
      <family val="2"/>
      <scheme val="minor"/>
    </font>
    <font>
      <sz val="20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3" tint="0.499984740745262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2"/>
      <color theme="0"/>
      <name val="Times New Roman"/>
      <family val="1"/>
    </font>
    <font>
      <sz val="12"/>
      <name val="Times New Roman"/>
      <family val="1"/>
    </font>
    <font>
      <sz val="15"/>
      <color theme="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01E3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3" tint="0.499984740745262"/>
      </bottom>
      <diagonal/>
    </border>
    <border>
      <left/>
      <right/>
      <top style="medium">
        <color theme="3" tint="0.499984740745262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37" fontId="2" fillId="0" borderId="0" xfId="0" applyNumberFormat="1" applyFont="1"/>
    <xf numFmtId="37" fontId="3" fillId="0" borderId="0" xfId="0" applyNumberFormat="1" applyFont="1"/>
    <xf numFmtId="37" fontId="3" fillId="0" borderId="1" xfId="0" applyNumberFormat="1" applyFont="1" applyBorder="1"/>
    <xf numFmtId="0" fontId="4" fillId="0" borderId="0" xfId="0" applyFont="1"/>
    <xf numFmtId="37" fontId="4" fillId="0" borderId="0" xfId="0" applyNumberFormat="1" applyFont="1"/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37" fontId="4" fillId="0" borderId="2" xfId="0" applyNumberFormat="1" applyFont="1" applyBorder="1"/>
    <xf numFmtId="0" fontId="6" fillId="2" borderId="0" xfId="0" applyFont="1" applyFill="1"/>
    <xf numFmtId="166" fontId="3" fillId="0" borderId="0" xfId="1" applyNumberFormat="1" applyFont="1"/>
    <xf numFmtId="166" fontId="3" fillId="0" borderId="0" xfId="1" applyNumberFormat="1" applyFont="1" applyBorder="1"/>
    <xf numFmtId="166" fontId="7" fillId="0" borderId="0" xfId="1" applyNumberFormat="1" applyFont="1"/>
    <xf numFmtId="166" fontId="7" fillId="0" borderId="0" xfId="1" applyNumberFormat="1" applyFont="1" applyBorder="1"/>
    <xf numFmtId="166" fontId="2" fillId="0" borderId="0" xfId="1" applyNumberFormat="1" applyFont="1"/>
    <xf numFmtId="37" fontId="7" fillId="0" borderId="0" xfId="1" applyNumberFormat="1" applyFont="1"/>
    <xf numFmtId="0" fontId="4" fillId="0" borderId="0" xfId="0" applyFont="1" applyAlignment="1">
      <alignment horizontal="left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0" borderId="0" xfId="0" applyFont="1"/>
    <xf numFmtId="0" fontId="6" fillId="0" borderId="0" xfId="0" applyFont="1"/>
    <xf numFmtId="0" fontId="2" fillId="0" borderId="0" xfId="0" applyFont="1" applyProtection="1">
      <protection locked="0"/>
    </xf>
    <xf numFmtId="0" fontId="8" fillId="2" borderId="0" xfId="0" applyFont="1" applyFill="1"/>
    <xf numFmtId="37" fontId="0" fillId="0" borderId="0" xfId="0" applyNumberFormat="1"/>
    <xf numFmtId="37" fontId="0" fillId="0" borderId="0" xfId="0" applyNumberFormat="1" applyAlignment="1">
      <alignment horizontal="center"/>
    </xf>
    <xf numFmtId="9" fontId="4" fillId="0" borderId="0" xfId="1" applyFont="1"/>
    <xf numFmtId="166" fontId="4" fillId="0" borderId="0" xfId="1" applyNumberFormat="1" applyFont="1"/>
    <xf numFmtId="37" fontId="7" fillId="0" borderId="1" xfId="0" applyNumberFormat="1" applyFont="1" applyBorder="1"/>
    <xf numFmtId="37" fontId="9" fillId="0" borderId="2" xfId="0" applyNumberFormat="1" applyFont="1" applyBorder="1"/>
    <xf numFmtId="167" fontId="0" fillId="0" borderId="0" xfId="0" applyNumberFormat="1"/>
    <xf numFmtId="9" fontId="0" fillId="0" borderId="0" xfId="1" applyFon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01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5485-0831-45B2-9EE9-6000F1B8985D}">
  <dimension ref="A2:P272"/>
  <sheetViews>
    <sheetView showGridLines="0" topLeftCell="A165" zoomScale="85" zoomScaleNormal="85" workbookViewId="0">
      <selection activeCell="G186" sqref="G186"/>
    </sheetView>
  </sheetViews>
  <sheetFormatPr defaultRowHeight="15.75" x14ac:dyDescent="0.25"/>
  <cols>
    <col min="1" max="1" width="10" style="2" customWidth="1"/>
    <col min="2" max="2" width="19.140625" style="2" customWidth="1"/>
    <col min="3" max="3" width="24" style="2" customWidth="1"/>
    <col min="4" max="4" width="25" style="2" customWidth="1"/>
    <col min="5" max="5" width="9.140625" style="2"/>
    <col min="6" max="6" width="13.85546875" style="2" bestFit="1" customWidth="1"/>
    <col min="7" max="15" width="12.7109375" style="2" customWidth="1"/>
    <col min="16" max="16" width="22.28515625" style="2" customWidth="1"/>
    <col min="17" max="16384" width="9.140625" style="2"/>
  </cols>
  <sheetData>
    <row r="2" spans="1:16" ht="26.25" x14ac:dyDescent="0.4">
      <c r="B2" s="1" t="s">
        <v>117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9.5" x14ac:dyDescent="0.3">
      <c r="B3" s="29" t="s">
        <v>135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5.75" customHeight="1" x14ac:dyDescent="0.4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ht="15.75" customHeight="1" x14ac:dyDescent="0.25">
      <c r="A5" s="28"/>
    </row>
    <row r="6" spans="1:16" ht="26.25" x14ac:dyDescent="0.4">
      <c r="A6" s="2" t="s">
        <v>136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8" spans="1:16" ht="16.5" thickBot="1" x14ac:dyDescent="0.3">
      <c r="F8" s="24">
        <v>2021</v>
      </c>
      <c r="G8" s="24">
        <f>F8+1</f>
        <v>2022</v>
      </c>
      <c r="H8" s="24">
        <f t="shared" ref="H8:J8" si="0">G8+1</f>
        <v>2023</v>
      </c>
      <c r="I8" s="24">
        <f t="shared" si="0"/>
        <v>2024</v>
      </c>
      <c r="J8" s="24">
        <f t="shared" si="0"/>
        <v>2025</v>
      </c>
      <c r="K8" s="25">
        <v>2026</v>
      </c>
      <c r="L8" s="25">
        <f>K8+1</f>
        <v>2027</v>
      </c>
      <c r="M8" s="25">
        <f t="shared" ref="M8:O8" si="1">L8+1</f>
        <v>2028</v>
      </c>
      <c r="N8" s="25">
        <f t="shared" si="1"/>
        <v>2029</v>
      </c>
      <c r="O8" s="25">
        <f t="shared" si="1"/>
        <v>2030</v>
      </c>
    </row>
    <row r="9" spans="1:16" x14ac:dyDescent="0.25">
      <c r="F9" s="3"/>
      <c r="G9" s="3"/>
      <c r="H9" s="3"/>
      <c r="I9" s="3"/>
      <c r="J9" s="3"/>
      <c r="K9" s="4"/>
      <c r="L9" s="4"/>
      <c r="M9" s="4"/>
      <c r="N9" s="4"/>
      <c r="O9" s="4"/>
    </row>
    <row r="10" spans="1:16" x14ac:dyDescent="0.25">
      <c r="B10" s="2" t="s">
        <v>1</v>
      </c>
      <c r="F10" s="8">
        <v>456255</v>
      </c>
      <c r="G10" s="8">
        <v>481333</v>
      </c>
      <c r="H10" s="8">
        <v>458973</v>
      </c>
      <c r="I10" s="8">
        <v>475967</v>
      </c>
      <c r="J10" s="8">
        <v>722405</v>
      </c>
      <c r="K10" s="8"/>
      <c r="L10" s="8"/>
      <c r="M10" s="8"/>
      <c r="N10" s="8"/>
      <c r="O10" s="8"/>
    </row>
    <row r="11" spans="1:16" ht="16.5" thickBot="1" x14ac:dyDescent="0.3">
      <c r="B11" s="2" t="s">
        <v>2</v>
      </c>
      <c r="F11" s="9">
        <v>-414984</v>
      </c>
      <c r="G11" s="9">
        <v>-392770</v>
      </c>
      <c r="H11" s="9">
        <v>-353109</v>
      </c>
      <c r="I11" s="9">
        <v>-335430</v>
      </c>
      <c r="J11" s="9">
        <v>-537506</v>
      </c>
      <c r="K11" s="9"/>
      <c r="L11" s="9"/>
      <c r="M11" s="9"/>
      <c r="N11" s="9"/>
      <c r="O11" s="9"/>
    </row>
    <row r="12" spans="1:16" x14ac:dyDescent="0.25">
      <c r="B12" s="10" t="s">
        <v>3</v>
      </c>
      <c r="F12" s="11">
        <f>SUM(F10:F11)</f>
        <v>41271</v>
      </c>
      <c r="G12" s="11">
        <f t="shared" ref="G12:O12" si="2">SUM(G10:G11)</f>
        <v>88563</v>
      </c>
      <c r="H12" s="11">
        <f t="shared" si="2"/>
        <v>105864</v>
      </c>
      <c r="I12" s="11">
        <f t="shared" si="2"/>
        <v>140537</v>
      </c>
      <c r="J12" s="11">
        <f t="shared" si="2"/>
        <v>184899</v>
      </c>
      <c r="K12" s="11">
        <f t="shared" si="2"/>
        <v>0</v>
      </c>
      <c r="L12" s="11">
        <f t="shared" si="2"/>
        <v>0</v>
      </c>
      <c r="M12" s="11">
        <f t="shared" si="2"/>
        <v>0</v>
      </c>
      <c r="N12" s="11">
        <f t="shared" si="2"/>
        <v>0</v>
      </c>
      <c r="O12" s="11">
        <f t="shared" si="2"/>
        <v>0</v>
      </c>
    </row>
    <row r="14" spans="1:16" x14ac:dyDescent="0.25">
      <c r="B14" s="5" t="s">
        <v>4</v>
      </c>
    </row>
    <row r="15" spans="1:16" x14ac:dyDescent="0.25">
      <c r="B15" s="12" t="s">
        <v>5</v>
      </c>
      <c r="F15" s="8">
        <v>-22435</v>
      </c>
      <c r="G15" s="8">
        <v>-18896</v>
      </c>
      <c r="H15" s="8">
        <v>-19457</v>
      </c>
      <c r="I15" s="8">
        <v>-20056</v>
      </c>
      <c r="J15" s="8">
        <v>-18164</v>
      </c>
      <c r="K15" s="8"/>
      <c r="L15" s="8"/>
      <c r="M15" s="8"/>
      <c r="N15" s="8"/>
      <c r="O15" s="8"/>
    </row>
    <row r="16" spans="1:16" x14ac:dyDescent="0.25">
      <c r="B16" s="12" t="s">
        <v>6</v>
      </c>
      <c r="F16" s="8">
        <v>-57871</v>
      </c>
      <c r="G16" s="8">
        <v>-42941</v>
      </c>
      <c r="H16" s="8">
        <v>-40386</v>
      </c>
      <c r="I16" s="8">
        <v>-37378</v>
      </c>
      <c r="J16" s="8">
        <v>-55803</v>
      </c>
      <c r="K16" s="8"/>
      <c r="L16" s="8"/>
      <c r="M16" s="8"/>
      <c r="N16" s="8"/>
      <c r="O16" s="8"/>
    </row>
    <row r="17" spans="2:15" ht="16.5" thickBot="1" x14ac:dyDescent="0.3">
      <c r="B17" s="12" t="s">
        <v>7</v>
      </c>
      <c r="F17" s="9">
        <v>-2535</v>
      </c>
      <c r="G17" s="9">
        <v>-2124</v>
      </c>
      <c r="H17" s="9">
        <v>-1746</v>
      </c>
      <c r="I17" s="9">
        <v>-1459</v>
      </c>
      <c r="J17" s="9">
        <v>-1218</v>
      </c>
      <c r="K17" s="9"/>
      <c r="L17" s="9"/>
      <c r="M17" s="9"/>
      <c r="N17" s="9"/>
      <c r="O17" s="9"/>
    </row>
    <row r="18" spans="2:15" x14ac:dyDescent="0.25">
      <c r="B18" s="5" t="s">
        <v>8</v>
      </c>
      <c r="F18" s="11">
        <f>SUM(F15:F17)</f>
        <v>-82841</v>
      </c>
      <c r="G18" s="11">
        <f t="shared" ref="G18:J18" si="3">SUM(G15:G17)</f>
        <v>-63961</v>
      </c>
      <c r="H18" s="11">
        <f t="shared" si="3"/>
        <v>-61589</v>
      </c>
      <c r="I18" s="11">
        <f t="shared" si="3"/>
        <v>-58893</v>
      </c>
      <c r="J18" s="11">
        <f t="shared" si="3"/>
        <v>-75185</v>
      </c>
      <c r="K18" s="11"/>
      <c r="L18" s="11"/>
      <c r="M18" s="11"/>
      <c r="N18" s="11"/>
      <c r="O18" s="11"/>
    </row>
    <row r="19" spans="2:15" x14ac:dyDescent="0.25">
      <c r="B19" s="5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x14ac:dyDescent="0.25">
      <c r="B20" s="10" t="s">
        <v>9</v>
      </c>
      <c r="F20" s="11">
        <f>F12+F18</f>
        <v>-41570</v>
      </c>
      <c r="G20" s="11">
        <f t="shared" ref="G20:O20" si="4">G12+G18</f>
        <v>24602</v>
      </c>
      <c r="H20" s="11">
        <f t="shared" si="4"/>
        <v>44275</v>
      </c>
      <c r="I20" s="11">
        <f t="shared" si="4"/>
        <v>81644</v>
      </c>
      <c r="J20" s="11">
        <f t="shared" si="4"/>
        <v>109714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</row>
    <row r="22" spans="2:15" x14ac:dyDescent="0.25">
      <c r="B22" s="6" t="s">
        <v>14</v>
      </c>
      <c r="F22" s="8">
        <f>-F17</f>
        <v>2535</v>
      </c>
      <c r="G22" s="8">
        <f t="shared" ref="G22:O22" si="5">-G17</f>
        <v>2124</v>
      </c>
      <c r="H22" s="8">
        <f t="shared" si="5"/>
        <v>1746</v>
      </c>
      <c r="I22" s="8">
        <f t="shared" si="5"/>
        <v>1459</v>
      </c>
      <c r="J22" s="8">
        <f t="shared" si="5"/>
        <v>1218</v>
      </c>
      <c r="K22" s="8">
        <f t="shared" si="5"/>
        <v>0</v>
      </c>
      <c r="L22" s="8">
        <f t="shared" si="5"/>
        <v>0</v>
      </c>
      <c r="M22" s="8">
        <f t="shared" si="5"/>
        <v>0</v>
      </c>
      <c r="N22" s="8">
        <f t="shared" si="5"/>
        <v>0</v>
      </c>
      <c r="O22" s="8">
        <f t="shared" si="5"/>
        <v>0</v>
      </c>
    </row>
    <row r="23" spans="2:15" ht="16.5" thickBot="1" x14ac:dyDescent="0.3">
      <c r="B23" s="6" t="s">
        <v>13</v>
      </c>
      <c r="F23" s="9">
        <v>4871</v>
      </c>
      <c r="G23" s="9">
        <v>4566</v>
      </c>
      <c r="H23" s="9">
        <v>3854</v>
      </c>
      <c r="I23" s="9">
        <v>3740</v>
      </c>
      <c r="J23" s="9">
        <v>4170</v>
      </c>
      <c r="K23" s="9"/>
      <c r="L23" s="9"/>
      <c r="M23" s="9"/>
      <c r="N23" s="9"/>
      <c r="O23" s="9"/>
    </row>
    <row r="24" spans="2:15" x14ac:dyDescent="0.25">
      <c r="B24" s="10" t="s">
        <v>10</v>
      </c>
      <c r="F24" s="11">
        <f>F20+F22+F23</f>
        <v>-34164</v>
      </c>
      <c r="G24" s="11">
        <f t="shared" ref="G24:O24" si="6">G20+G22+G23</f>
        <v>31292</v>
      </c>
      <c r="H24" s="11">
        <f t="shared" si="6"/>
        <v>49875</v>
      </c>
      <c r="I24" s="11">
        <f t="shared" si="6"/>
        <v>86843</v>
      </c>
      <c r="J24" s="11">
        <f t="shared" si="6"/>
        <v>115102</v>
      </c>
      <c r="K24" s="11">
        <f t="shared" si="6"/>
        <v>0</v>
      </c>
      <c r="L24" s="11">
        <f t="shared" si="6"/>
        <v>0</v>
      </c>
      <c r="M24" s="11">
        <f t="shared" si="6"/>
        <v>0</v>
      </c>
      <c r="N24" s="11">
        <f t="shared" si="6"/>
        <v>0</v>
      </c>
      <c r="O24" s="11">
        <f t="shared" si="6"/>
        <v>0</v>
      </c>
    </row>
    <row r="26" spans="2:15" x14ac:dyDescent="0.25">
      <c r="B26" s="2" t="s">
        <v>19</v>
      </c>
    </row>
    <row r="27" spans="2:15" x14ac:dyDescent="0.25">
      <c r="B27" s="6" t="s">
        <v>15</v>
      </c>
      <c r="F27" s="8">
        <v>-7307</v>
      </c>
      <c r="G27" s="8">
        <v>-13028</v>
      </c>
      <c r="H27" s="8">
        <v>-17069</v>
      </c>
      <c r="I27" s="8">
        <v>-11443</v>
      </c>
      <c r="J27" s="8">
        <v>-6702</v>
      </c>
      <c r="K27" s="8"/>
      <c r="L27" s="8"/>
      <c r="M27" s="8"/>
      <c r="N27" s="8"/>
      <c r="O27" s="8"/>
    </row>
    <row r="28" spans="2:15" x14ac:dyDescent="0.25">
      <c r="B28" s="6" t="s">
        <v>16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/>
      <c r="L28" s="8"/>
      <c r="M28" s="8"/>
      <c r="N28" s="8"/>
      <c r="O28" s="8"/>
    </row>
    <row r="29" spans="2:15" ht="16.5" thickBot="1" x14ac:dyDescent="0.3">
      <c r="B29" s="6" t="s">
        <v>17</v>
      </c>
      <c r="F29" s="9">
        <v>-1</v>
      </c>
      <c r="G29" s="9">
        <v>0</v>
      </c>
      <c r="H29" s="9">
        <v>0</v>
      </c>
      <c r="I29" s="9">
        <v>0</v>
      </c>
      <c r="J29" s="9">
        <v>352</v>
      </c>
      <c r="K29" s="9"/>
      <c r="L29" s="9"/>
      <c r="M29" s="9"/>
      <c r="N29" s="9"/>
      <c r="O29" s="9"/>
    </row>
    <row r="30" spans="2:15" x14ac:dyDescent="0.25">
      <c r="B30" s="2" t="s">
        <v>20</v>
      </c>
      <c r="F30" s="7">
        <f>SUM(F27:F29)</f>
        <v>-7308</v>
      </c>
      <c r="G30" s="7">
        <f t="shared" ref="G30:O30" si="7">SUM(G27:G29)</f>
        <v>-13028</v>
      </c>
      <c r="H30" s="7">
        <f t="shared" si="7"/>
        <v>-17069</v>
      </c>
      <c r="I30" s="7">
        <f t="shared" si="7"/>
        <v>-11443</v>
      </c>
      <c r="J30" s="7">
        <f t="shared" si="7"/>
        <v>-6350</v>
      </c>
      <c r="K30" s="7">
        <f t="shared" si="7"/>
        <v>0</v>
      </c>
      <c r="L30" s="7">
        <f t="shared" si="7"/>
        <v>0</v>
      </c>
      <c r="M30" s="7">
        <f t="shared" si="7"/>
        <v>0</v>
      </c>
      <c r="N30" s="7">
        <f t="shared" si="7"/>
        <v>0</v>
      </c>
      <c r="O30" s="7">
        <f t="shared" si="7"/>
        <v>0</v>
      </c>
    </row>
    <row r="31" spans="2:15" ht="16.5" thickBot="1" x14ac:dyDescent="0.3"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2:15" x14ac:dyDescent="0.25">
      <c r="B32" s="10" t="s">
        <v>18</v>
      </c>
      <c r="F32" s="15">
        <f>F20+F30</f>
        <v>-48878</v>
      </c>
      <c r="G32" s="15">
        <f t="shared" ref="G32:O32" si="8">G20+G30</f>
        <v>11574</v>
      </c>
      <c r="H32" s="15">
        <f t="shared" si="8"/>
        <v>27206</v>
      </c>
      <c r="I32" s="15">
        <f t="shared" si="8"/>
        <v>70201</v>
      </c>
      <c r="J32" s="15">
        <f t="shared" si="8"/>
        <v>103364</v>
      </c>
      <c r="K32" s="15">
        <f t="shared" si="8"/>
        <v>0</v>
      </c>
      <c r="L32" s="15">
        <f t="shared" si="8"/>
        <v>0</v>
      </c>
      <c r="M32" s="15">
        <f t="shared" si="8"/>
        <v>0</v>
      </c>
      <c r="N32" s="15">
        <f t="shared" si="8"/>
        <v>0</v>
      </c>
      <c r="O32" s="15">
        <f t="shared" si="8"/>
        <v>0</v>
      </c>
    </row>
    <row r="34" spans="1:16" ht="16.5" thickBot="1" x14ac:dyDescent="0.3">
      <c r="B34" s="2" t="s">
        <v>11</v>
      </c>
      <c r="F34" s="9">
        <v>-406</v>
      </c>
      <c r="G34" s="9">
        <v>304</v>
      </c>
      <c r="H34" s="9">
        <v>900</v>
      </c>
      <c r="I34" s="9">
        <v>922</v>
      </c>
      <c r="J34" s="9">
        <v>-10623</v>
      </c>
      <c r="K34" s="9"/>
      <c r="L34" s="9"/>
      <c r="M34" s="9"/>
      <c r="N34" s="9"/>
      <c r="O34" s="9"/>
    </row>
    <row r="35" spans="1:16" x14ac:dyDescent="0.25">
      <c r="B35" s="10" t="s">
        <v>12</v>
      </c>
      <c r="F35" s="11">
        <f>F32-F34</f>
        <v>-48472</v>
      </c>
      <c r="G35" s="11">
        <f t="shared" ref="G35:O35" si="9">G32-G34</f>
        <v>11270</v>
      </c>
      <c r="H35" s="11">
        <f t="shared" si="9"/>
        <v>26306</v>
      </c>
      <c r="I35" s="11">
        <f t="shared" si="9"/>
        <v>69279</v>
      </c>
      <c r="J35" s="11">
        <f t="shared" si="9"/>
        <v>113987</v>
      </c>
      <c r="K35" s="11">
        <f t="shared" si="9"/>
        <v>0</v>
      </c>
      <c r="L35" s="11">
        <f t="shared" si="9"/>
        <v>0</v>
      </c>
      <c r="M35" s="11">
        <f t="shared" si="9"/>
        <v>0</v>
      </c>
      <c r="N35" s="11">
        <f t="shared" si="9"/>
        <v>0</v>
      </c>
      <c r="O35" s="11">
        <f t="shared" si="9"/>
        <v>0</v>
      </c>
    </row>
    <row r="38" spans="1:16" ht="26.25" x14ac:dyDescent="0.4">
      <c r="A38" s="2" t="s">
        <v>136</v>
      </c>
      <c r="B38" s="1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40" spans="1:16" ht="16.5" thickBot="1" x14ac:dyDescent="0.3">
      <c r="F40" s="24">
        <v>2021</v>
      </c>
      <c r="G40" s="24">
        <f>F40+1</f>
        <v>2022</v>
      </c>
      <c r="H40" s="24">
        <f t="shared" ref="H40:J40" si="10">G40+1</f>
        <v>2023</v>
      </c>
      <c r="I40" s="24">
        <f t="shared" si="10"/>
        <v>2024</v>
      </c>
      <c r="J40" s="24">
        <f t="shared" si="10"/>
        <v>2025</v>
      </c>
      <c r="K40" s="25">
        <v>2026</v>
      </c>
      <c r="L40" s="25">
        <f>K40+1</f>
        <v>2027</v>
      </c>
      <c r="M40" s="25">
        <f t="shared" ref="M40:O40" si="11">L40+1</f>
        <v>2028</v>
      </c>
      <c r="N40" s="25">
        <f t="shared" si="11"/>
        <v>2029</v>
      </c>
      <c r="O40" s="25">
        <f t="shared" si="11"/>
        <v>2030</v>
      </c>
    </row>
    <row r="42" spans="1:16" x14ac:dyDescent="0.25">
      <c r="B42" s="10" t="s">
        <v>42</v>
      </c>
    </row>
    <row r="44" spans="1:16" x14ac:dyDescent="0.25">
      <c r="B44" s="2" t="s">
        <v>21</v>
      </c>
      <c r="F44" s="8">
        <f>F35</f>
        <v>-48472</v>
      </c>
      <c r="G44" s="8">
        <f t="shared" ref="G44:O44" si="12">G35</f>
        <v>11270</v>
      </c>
      <c r="H44" s="8">
        <f t="shared" si="12"/>
        <v>26306</v>
      </c>
      <c r="I44" s="8">
        <f t="shared" si="12"/>
        <v>69279</v>
      </c>
      <c r="J44" s="8">
        <f t="shared" si="12"/>
        <v>113987</v>
      </c>
      <c r="K44" s="7">
        <f t="shared" si="12"/>
        <v>0</v>
      </c>
      <c r="L44" s="7">
        <f t="shared" si="12"/>
        <v>0</v>
      </c>
      <c r="M44" s="7">
        <f t="shared" si="12"/>
        <v>0</v>
      </c>
      <c r="N44" s="7">
        <f t="shared" si="12"/>
        <v>0</v>
      </c>
      <c r="O44" s="7">
        <f t="shared" si="12"/>
        <v>0</v>
      </c>
    </row>
    <row r="45" spans="1:16" x14ac:dyDescent="0.25">
      <c r="F45" s="8"/>
      <c r="G45" s="8"/>
      <c r="H45" s="8"/>
      <c r="I45" s="8"/>
      <c r="J45" s="8"/>
      <c r="K45" s="7"/>
      <c r="L45" s="7"/>
      <c r="M45" s="7"/>
      <c r="N45" s="7"/>
      <c r="O45" s="7"/>
    </row>
    <row r="46" spans="1:16" x14ac:dyDescent="0.25">
      <c r="B46" s="10" t="s">
        <v>22</v>
      </c>
      <c r="F46" s="8"/>
      <c r="G46" s="8"/>
      <c r="H46" s="8"/>
      <c r="I46" s="8"/>
      <c r="J46" s="8"/>
    </row>
    <row r="47" spans="1:16" x14ac:dyDescent="0.25">
      <c r="B47" s="12" t="s">
        <v>7</v>
      </c>
      <c r="F47" s="8">
        <f>F22</f>
        <v>2535</v>
      </c>
      <c r="G47" s="8">
        <f t="shared" ref="G47:J47" si="13">G22</f>
        <v>2124</v>
      </c>
      <c r="H47" s="8">
        <f t="shared" si="13"/>
        <v>1746</v>
      </c>
      <c r="I47" s="8">
        <f t="shared" si="13"/>
        <v>1459</v>
      </c>
      <c r="J47" s="8">
        <f t="shared" si="13"/>
        <v>1218</v>
      </c>
    </row>
    <row r="48" spans="1:16" x14ac:dyDescent="0.25">
      <c r="B48" s="12" t="s">
        <v>13</v>
      </c>
      <c r="F48" s="8">
        <f>F23</f>
        <v>4871</v>
      </c>
      <c r="G48" s="8">
        <f t="shared" ref="G48:J48" si="14">G23</f>
        <v>4566</v>
      </c>
      <c r="H48" s="8">
        <f t="shared" si="14"/>
        <v>3854</v>
      </c>
      <c r="I48" s="8">
        <f t="shared" si="14"/>
        <v>3740</v>
      </c>
      <c r="J48" s="8">
        <f t="shared" si="14"/>
        <v>4170</v>
      </c>
    </row>
    <row r="49" spans="2:10" x14ac:dyDescent="0.25">
      <c r="B49" s="12" t="s">
        <v>37</v>
      </c>
      <c r="F49" s="8">
        <v>0</v>
      </c>
      <c r="G49" s="8">
        <v>0</v>
      </c>
      <c r="H49" s="8">
        <v>0</v>
      </c>
      <c r="I49" s="8">
        <v>5009</v>
      </c>
      <c r="J49" s="8">
        <v>6063</v>
      </c>
    </row>
    <row r="50" spans="2:10" x14ac:dyDescent="0.25">
      <c r="B50" s="12" t="s">
        <v>23</v>
      </c>
      <c r="F50" s="8">
        <v>394</v>
      </c>
      <c r="G50" s="8">
        <v>385</v>
      </c>
      <c r="H50" s="8">
        <v>151</v>
      </c>
      <c r="I50" s="8">
        <v>89</v>
      </c>
      <c r="J50" s="8">
        <v>427</v>
      </c>
    </row>
    <row r="51" spans="2:10" x14ac:dyDescent="0.25">
      <c r="B51" s="12" t="s">
        <v>38</v>
      </c>
      <c r="F51" s="8">
        <v>2819</v>
      </c>
      <c r="G51" s="8">
        <v>2178</v>
      </c>
      <c r="H51" s="8">
        <v>1188</v>
      </c>
      <c r="I51" s="8">
        <v>513</v>
      </c>
      <c r="J51" s="8">
        <v>646</v>
      </c>
    </row>
    <row r="52" spans="2:10" x14ac:dyDescent="0.25">
      <c r="B52" s="12" t="s">
        <v>24</v>
      </c>
      <c r="F52" s="8">
        <v>29</v>
      </c>
      <c r="G52" s="8">
        <v>189</v>
      </c>
      <c r="H52" s="8">
        <v>200</v>
      </c>
      <c r="I52" s="8">
        <v>90</v>
      </c>
      <c r="J52" s="8">
        <v>-14890</v>
      </c>
    </row>
    <row r="53" spans="2:10" x14ac:dyDescent="0.25">
      <c r="B53" s="12" t="s">
        <v>34</v>
      </c>
      <c r="F53" s="8">
        <v>0</v>
      </c>
      <c r="G53" s="8">
        <v>888</v>
      </c>
      <c r="H53" s="8">
        <v>1668</v>
      </c>
      <c r="I53" s="8">
        <v>-4086</v>
      </c>
      <c r="J53" s="8">
        <v>-922</v>
      </c>
    </row>
    <row r="54" spans="2:10" x14ac:dyDescent="0.25">
      <c r="B54" s="12" t="s">
        <v>35</v>
      </c>
      <c r="F54" s="8">
        <v>0</v>
      </c>
      <c r="G54" s="8">
        <v>533</v>
      </c>
      <c r="H54" s="8">
        <v>1826</v>
      </c>
      <c r="I54" s="8">
        <v>2405</v>
      </c>
      <c r="J54" s="8">
        <v>118</v>
      </c>
    </row>
    <row r="55" spans="2:10" x14ac:dyDescent="0.25">
      <c r="B55" s="12" t="s">
        <v>25</v>
      </c>
      <c r="F55" s="8">
        <v>941</v>
      </c>
      <c r="G55" s="8">
        <v>529</v>
      </c>
      <c r="H55" s="8">
        <v>229</v>
      </c>
      <c r="I55" s="8">
        <v>40</v>
      </c>
      <c r="J55" s="8">
        <v>96</v>
      </c>
    </row>
    <row r="56" spans="2:10" x14ac:dyDescent="0.25">
      <c r="B56" s="6"/>
      <c r="F56" s="8"/>
      <c r="G56" s="8"/>
      <c r="H56" s="8"/>
      <c r="I56" s="8"/>
      <c r="J56" s="8"/>
    </row>
    <row r="57" spans="2:10" x14ac:dyDescent="0.25">
      <c r="B57" s="14" t="s">
        <v>32</v>
      </c>
      <c r="F57" s="8"/>
      <c r="G57" s="8"/>
      <c r="H57" s="8"/>
      <c r="I57" s="8"/>
      <c r="J57" s="8"/>
    </row>
    <row r="58" spans="2:10" x14ac:dyDescent="0.25">
      <c r="B58" s="12" t="s">
        <v>26</v>
      </c>
      <c r="F58" s="8">
        <v>-4952</v>
      </c>
      <c r="G58" s="8">
        <v>-25672</v>
      </c>
      <c r="H58" s="8">
        <v>21248</v>
      </c>
      <c r="I58" s="8">
        <v>2117</v>
      </c>
      <c r="J58" s="8">
        <v>-20566</v>
      </c>
    </row>
    <row r="59" spans="2:10" x14ac:dyDescent="0.25">
      <c r="B59" s="12" t="s">
        <v>27</v>
      </c>
      <c r="F59" s="8">
        <v>-34840</v>
      </c>
      <c r="G59" s="8">
        <v>21098</v>
      </c>
      <c r="H59" s="8">
        <v>33787</v>
      </c>
      <c r="I59" s="8">
        <v>-10557</v>
      </c>
      <c r="J59" s="8">
        <v>-33426</v>
      </c>
    </row>
    <row r="60" spans="2:10" x14ac:dyDescent="0.25">
      <c r="B60" s="12" t="s">
        <v>28</v>
      </c>
      <c r="F60" s="8">
        <v>-103</v>
      </c>
      <c r="G60" s="8">
        <v>-4251</v>
      </c>
      <c r="H60" s="8">
        <v>-7043</v>
      </c>
      <c r="I60" s="8">
        <v>2241</v>
      </c>
      <c r="J60" s="8">
        <v>1896</v>
      </c>
    </row>
    <row r="61" spans="2:10" x14ac:dyDescent="0.25">
      <c r="B61" s="12" t="s">
        <v>39</v>
      </c>
      <c r="F61" s="8">
        <v>0</v>
      </c>
      <c r="G61" s="8">
        <v>0</v>
      </c>
      <c r="H61" s="8">
        <v>0</v>
      </c>
      <c r="I61" s="8">
        <v>-5908</v>
      </c>
      <c r="J61" s="8">
        <v>5496</v>
      </c>
    </row>
    <row r="62" spans="2:10" x14ac:dyDescent="0.25">
      <c r="B62" s="12" t="s">
        <v>40</v>
      </c>
      <c r="F62" s="8">
        <v>0</v>
      </c>
      <c r="G62" s="8">
        <v>0</v>
      </c>
      <c r="H62" s="8">
        <v>0</v>
      </c>
      <c r="I62" s="8">
        <v>-1631</v>
      </c>
      <c r="J62" s="8">
        <v>-7205</v>
      </c>
    </row>
    <row r="63" spans="2:10" x14ac:dyDescent="0.25">
      <c r="B63" s="12" t="s">
        <v>29</v>
      </c>
      <c r="F63" s="8">
        <v>62105</v>
      </c>
      <c r="G63" s="8">
        <v>-17004</v>
      </c>
      <c r="H63" s="8">
        <v>-9237</v>
      </c>
      <c r="I63" s="8">
        <v>-8856</v>
      </c>
      <c r="J63" s="8">
        <v>-10084</v>
      </c>
    </row>
    <row r="64" spans="2:10" x14ac:dyDescent="0.25">
      <c r="B64" s="12" t="s">
        <v>33</v>
      </c>
      <c r="F64" s="8">
        <v>0</v>
      </c>
      <c r="G64" s="8">
        <v>3721</v>
      </c>
      <c r="H64" s="8">
        <v>5</v>
      </c>
      <c r="I64" s="8">
        <v>-436</v>
      </c>
      <c r="J64" s="8">
        <v>-5457</v>
      </c>
    </row>
    <row r="65" spans="2:16" x14ac:dyDescent="0.25">
      <c r="B65" s="12" t="s">
        <v>30</v>
      </c>
      <c r="F65" s="8">
        <v>-42759</v>
      </c>
      <c r="G65" s="8">
        <v>2107</v>
      </c>
      <c r="H65" s="8">
        <v>-2162</v>
      </c>
      <c r="I65" s="8">
        <v>12003</v>
      </c>
      <c r="J65" s="8">
        <v>-6789</v>
      </c>
    </row>
    <row r="66" spans="2:16" ht="16.5" thickBot="1" x14ac:dyDescent="0.3">
      <c r="B66" s="12" t="s">
        <v>31</v>
      </c>
      <c r="F66" s="9">
        <v>-4046</v>
      </c>
      <c r="G66" s="9">
        <v>-11506</v>
      </c>
      <c r="H66" s="9">
        <v>-3254</v>
      </c>
      <c r="I66" s="9">
        <v>-5121</v>
      </c>
      <c r="J66" s="9">
        <v>-10665</v>
      </c>
    </row>
    <row r="67" spans="2:16" x14ac:dyDescent="0.25">
      <c r="B67" s="10" t="s">
        <v>49</v>
      </c>
      <c r="C67" s="10"/>
      <c r="D67" s="10"/>
      <c r="E67" s="10"/>
      <c r="F67" s="15">
        <f t="shared" ref="F67:O67" si="15">SUM(F44:F66)</f>
        <v>-61478</v>
      </c>
      <c r="G67" s="15">
        <f t="shared" si="15"/>
        <v>-8845</v>
      </c>
      <c r="H67" s="15">
        <f t="shared" si="15"/>
        <v>70512</v>
      </c>
      <c r="I67" s="15">
        <f t="shared" si="15"/>
        <v>62390</v>
      </c>
      <c r="J67" s="15">
        <f t="shared" si="15"/>
        <v>24113</v>
      </c>
      <c r="K67" s="15">
        <f t="shared" si="15"/>
        <v>0</v>
      </c>
      <c r="L67" s="15">
        <f t="shared" si="15"/>
        <v>0</v>
      </c>
      <c r="M67" s="15">
        <f t="shared" si="15"/>
        <v>0</v>
      </c>
      <c r="N67" s="15">
        <f t="shared" si="15"/>
        <v>0</v>
      </c>
      <c r="O67" s="15">
        <f t="shared" si="15"/>
        <v>0</v>
      </c>
      <c r="P67" s="10"/>
    </row>
    <row r="69" spans="2:16" x14ac:dyDescent="0.25">
      <c r="B69" s="10" t="s">
        <v>41</v>
      </c>
    </row>
    <row r="71" spans="2:16" x14ac:dyDescent="0.25">
      <c r="B71" s="6" t="s">
        <v>43</v>
      </c>
      <c r="F71" s="8">
        <v>-1968</v>
      </c>
      <c r="G71" s="8">
        <v>-1354</v>
      </c>
      <c r="H71" s="8">
        <v>-5036</v>
      </c>
      <c r="I71" s="8">
        <v>-4559</v>
      </c>
      <c r="J71" s="8">
        <v>-9973</v>
      </c>
    </row>
    <row r="72" spans="2:16" x14ac:dyDescent="0.25">
      <c r="B72" s="6" t="s">
        <v>44</v>
      </c>
      <c r="F72" s="8">
        <v>2263</v>
      </c>
      <c r="G72" s="8">
        <v>0</v>
      </c>
      <c r="H72" s="8">
        <v>0</v>
      </c>
      <c r="I72" s="8">
        <v>0</v>
      </c>
      <c r="J72" s="8">
        <v>0</v>
      </c>
    </row>
    <row r="73" spans="2:16" x14ac:dyDescent="0.25">
      <c r="B73" s="6" t="s">
        <v>45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</row>
    <row r="74" spans="2:16" x14ac:dyDescent="0.25">
      <c r="B74" s="6" t="s">
        <v>47</v>
      </c>
      <c r="F74" s="8">
        <v>0</v>
      </c>
      <c r="G74" s="8">
        <v>0</v>
      </c>
      <c r="H74" s="8">
        <v>16</v>
      </c>
      <c r="I74" s="8">
        <v>0</v>
      </c>
      <c r="J74" s="8">
        <v>11</v>
      </c>
    </row>
    <row r="75" spans="2:16" ht="16.5" thickBot="1" x14ac:dyDescent="0.3">
      <c r="B75" s="6" t="s">
        <v>46</v>
      </c>
      <c r="F75" s="9">
        <v>103</v>
      </c>
      <c r="G75" s="9">
        <v>0</v>
      </c>
      <c r="H75" s="9">
        <v>0</v>
      </c>
      <c r="I75" s="9">
        <v>0</v>
      </c>
      <c r="J75" s="9">
        <v>0</v>
      </c>
    </row>
    <row r="76" spans="2:16" x14ac:dyDescent="0.25">
      <c r="B76" s="10" t="s">
        <v>48</v>
      </c>
      <c r="F76" s="15">
        <f>SUM(F71:F75)</f>
        <v>398</v>
      </c>
      <c r="G76" s="15">
        <f t="shared" ref="G76:O76" si="16">SUM(G71:G75)</f>
        <v>-1354</v>
      </c>
      <c r="H76" s="15">
        <f t="shared" si="16"/>
        <v>-5020</v>
      </c>
      <c r="I76" s="15">
        <f t="shared" si="16"/>
        <v>-4559</v>
      </c>
      <c r="J76" s="15">
        <f t="shared" si="16"/>
        <v>-9962</v>
      </c>
      <c r="K76" s="15">
        <f t="shared" si="16"/>
        <v>0</v>
      </c>
      <c r="L76" s="15">
        <f t="shared" si="16"/>
        <v>0</v>
      </c>
      <c r="M76" s="15">
        <f t="shared" si="16"/>
        <v>0</v>
      </c>
      <c r="N76" s="15">
        <f t="shared" si="16"/>
        <v>0</v>
      </c>
      <c r="O76" s="15">
        <f t="shared" si="16"/>
        <v>0</v>
      </c>
    </row>
    <row r="78" spans="2:16" x14ac:dyDescent="0.25">
      <c r="B78" s="10" t="s">
        <v>50</v>
      </c>
    </row>
    <row r="80" spans="2:16" x14ac:dyDescent="0.25">
      <c r="B80" s="2" t="s">
        <v>51</v>
      </c>
      <c r="F80" s="8">
        <v>0</v>
      </c>
      <c r="G80" s="8">
        <v>0</v>
      </c>
      <c r="H80" s="8">
        <v>-80000</v>
      </c>
      <c r="I80" s="8">
        <v>0</v>
      </c>
      <c r="J80" s="8">
        <v>0</v>
      </c>
    </row>
    <row r="81" spans="1:16" x14ac:dyDescent="0.25">
      <c r="B81" s="2" t="s">
        <v>52</v>
      </c>
      <c r="F81" s="8">
        <v>-380</v>
      </c>
      <c r="G81" s="8">
        <v>-256</v>
      </c>
      <c r="H81" s="8">
        <v>-215</v>
      </c>
      <c r="I81" s="8">
        <v>-204</v>
      </c>
      <c r="J81" s="8">
        <v>-482</v>
      </c>
    </row>
    <row r="82" spans="1:16" x14ac:dyDescent="0.25">
      <c r="B82" s="2" t="s">
        <v>62</v>
      </c>
      <c r="F82" s="8">
        <v>51309</v>
      </c>
      <c r="G82" s="8">
        <v>0</v>
      </c>
      <c r="H82" s="8">
        <v>0</v>
      </c>
      <c r="I82" s="8">
        <v>0</v>
      </c>
      <c r="J82" s="8">
        <v>0</v>
      </c>
    </row>
    <row r="83" spans="1:16" x14ac:dyDescent="0.25">
      <c r="B83" s="2" t="s">
        <v>53</v>
      </c>
      <c r="F83" s="8">
        <v>0</v>
      </c>
      <c r="G83" s="8">
        <v>31582</v>
      </c>
      <c r="H83" s="8">
        <v>15000</v>
      </c>
      <c r="I83" s="8">
        <v>100000</v>
      </c>
      <c r="J83" s="8">
        <v>0</v>
      </c>
    </row>
    <row r="84" spans="1:16" x14ac:dyDescent="0.25">
      <c r="B84" s="2" t="s">
        <v>54</v>
      </c>
      <c r="F84" s="8">
        <v>-1180</v>
      </c>
      <c r="G84" s="8">
        <v>-1168</v>
      </c>
      <c r="H84" s="8">
        <v>-594</v>
      </c>
      <c r="I84" s="8">
        <v>-124820</v>
      </c>
      <c r="J84" s="8">
        <v>-25000</v>
      </c>
    </row>
    <row r="85" spans="1:16" x14ac:dyDescent="0.25">
      <c r="B85" s="2" t="s">
        <v>55</v>
      </c>
      <c r="F85" s="8">
        <v>-3162</v>
      </c>
      <c r="G85" s="8">
        <v>-1787</v>
      </c>
      <c r="H85" s="8">
        <v>-987</v>
      </c>
      <c r="I85" s="8">
        <v>-709</v>
      </c>
      <c r="J85" s="8">
        <v>-1157</v>
      </c>
    </row>
    <row r="86" spans="1:16" x14ac:dyDescent="0.25">
      <c r="B86" s="2" t="s">
        <v>58</v>
      </c>
      <c r="F86" s="8">
        <v>0</v>
      </c>
      <c r="G86" s="8">
        <v>0</v>
      </c>
      <c r="H86" s="8">
        <v>0</v>
      </c>
      <c r="I86" s="8">
        <v>-201</v>
      </c>
      <c r="J86" s="8">
        <v>-1055</v>
      </c>
    </row>
    <row r="87" spans="1:16" ht="16.5" thickBot="1" x14ac:dyDescent="0.3">
      <c r="B87" s="2" t="s">
        <v>56</v>
      </c>
      <c r="F87" s="9">
        <v>-42</v>
      </c>
      <c r="G87" s="9">
        <v>-4</v>
      </c>
      <c r="H87" s="9">
        <v>-2</v>
      </c>
      <c r="I87" s="9">
        <v>0</v>
      </c>
      <c r="J87" s="9">
        <v>0</v>
      </c>
    </row>
    <row r="88" spans="1:16" x14ac:dyDescent="0.25">
      <c r="B88" s="10" t="s">
        <v>57</v>
      </c>
      <c r="F88" s="15">
        <f>SUM(F80:F87)</f>
        <v>46545</v>
      </c>
      <c r="G88" s="15">
        <f t="shared" ref="G88:O88" si="17">SUM(G80:G87)</f>
        <v>28367</v>
      </c>
      <c r="H88" s="15">
        <f t="shared" si="17"/>
        <v>-66798</v>
      </c>
      <c r="I88" s="15">
        <f t="shared" si="17"/>
        <v>-25934</v>
      </c>
      <c r="J88" s="15">
        <f t="shared" si="17"/>
        <v>-27694</v>
      </c>
      <c r="K88" s="15">
        <f t="shared" si="17"/>
        <v>0</v>
      </c>
      <c r="L88" s="15">
        <f t="shared" si="17"/>
        <v>0</v>
      </c>
      <c r="M88" s="15">
        <f t="shared" si="17"/>
        <v>0</v>
      </c>
      <c r="N88" s="15">
        <f t="shared" si="17"/>
        <v>0</v>
      </c>
      <c r="O88" s="15">
        <f t="shared" si="17"/>
        <v>0</v>
      </c>
    </row>
    <row r="90" spans="1:16" x14ac:dyDescent="0.25">
      <c r="B90" s="10" t="s">
        <v>59</v>
      </c>
    </row>
    <row r="91" spans="1:16" x14ac:dyDescent="0.25">
      <c r="B91" s="6" t="s">
        <v>60</v>
      </c>
      <c r="F91" s="8">
        <f>E102</f>
        <v>24267</v>
      </c>
      <c r="G91" s="8">
        <f>F93</f>
        <v>9732</v>
      </c>
      <c r="H91" s="8">
        <f t="shared" ref="H91:J91" si="18">G93</f>
        <v>27900</v>
      </c>
      <c r="I91" s="8">
        <f t="shared" si="18"/>
        <v>26594</v>
      </c>
      <c r="J91" s="8">
        <f t="shared" si="18"/>
        <v>58491</v>
      </c>
    </row>
    <row r="92" spans="1:16" ht="16.5" thickBot="1" x14ac:dyDescent="0.3">
      <c r="B92" s="6" t="s">
        <v>66</v>
      </c>
      <c r="F92" s="9">
        <f>F67+F76+F88</f>
        <v>-14535</v>
      </c>
      <c r="G92" s="9">
        <f t="shared" ref="G92:J92" si="19">G67+G76+G88</f>
        <v>18168</v>
      </c>
      <c r="H92" s="9">
        <f t="shared" si="19"/>
        <v>-1306</v>
      </c>
      <c r="I92" s="9">
        <f t="shared" si="19"/>
        <v>31897</v>
      </c>
      <c r="J92" s="9">
        <f t="shared" si="19"/>
        <v>-13543</v>
      </c>
    </row>
    <row r="93" spans="1:16" x14ac:dyDescent="0.25">
      <c r="B93" s="14" t="s">
        <v>61</v>
      </c>
      <c r="F93" s="15">
        <f>SUM(F91:F92)</f>
        <v>9732</v>
      </c>
      <c r="G93" s="15">
        <f t="shared" ref="G93:O93" si="20">SUM(G91:G92)</f>
        <v>27900</v>
      </c>
      <c r="H93" s="15">
        <f t="shared" si="20"/>
        <v>26594</v>
      </c>
      <c r="I93" s="15">
        <f t="shared" si="20"/>
        <v>58491</v>
      </c>
      <c r="J93" s="15">
        <f t="shared" si="20"/>
        <v>44948</v>
      </c>
      <c r="K93" s="15">
        <f t="shared" si="20"/>
        <v>0</v>
      </c>
      <c r="L93" s="15">
        <f t="shared" si="20"/>
        <v>0</v>
      </c>
      <c r="M93" s="15">
        <f t="shared" si="20"/>
        <v>0</v>
      </c>
      <c r="N93" s="15">
        <f t="shared" si="20"/>
        <v>0</v>
      </c>
      <c r="O93" s="15">
        <f t="shared" si="20"/>
        <v>0</v>
      </c>
    </row>
    <row r="96" spans="1:16" ht="26.25" x14ac:dyDescent="0.4">
      <c r="A96" s="2" t="s">
        <v>136</v>
      </c>
      <c r="B96" s="1" t="s">
        <v>63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8" spans="1:16" ht="16.5" thickBot="1" x14ac:dyDescent="0.3">
      <c r="E98" s="24">
        <v>2020</v>
      </c>
      <c r="F98" s="24">
        <v>2021</v>
      </c>
      <c r="G98" s="24">
        <f>F98+1</f>
        <v>2022</v>
      </c>
      <c r="H98" s="24">
        <f t="shared" ref="H98" si="21">G98+1</f>
        <v>2023</v>
      </c>
      <c r="I98" s="24">
        <f t="shared" ref="I98" si="22">H98+1</f>
        <v>2024</v>
      </c>
      <c r="J98" s="25">
        <f t="shared" ref="J98" si="23">I98+1</f>
        <v>2025</v>
      </c>
      <c r="K98" s="25">
        <v>2026</v>
      </c>
      <c r="L98" s="25">
        <f>K98+1</f>
        <v>2027</v>
      </c>
      <c r="M98" s="25">
        <f t="shared" ref="M98" si="24">L98+1</f>
        <v>2028</v>
      </c>
      <c r="N98" s="25">
        <f t="shared" ref="N98" si="25">M98+1</f>
        <v>2029</v>
      </c>
      <c r="O98" s="24">
        <f t="shared" ref="O98" si="26">N98+1</f>
        <v>2030</v>
      </c>
    </row>
    <row r="100" spans="1:16" x14ac:dyDescent="0.25">
      <c r="B100" s="2" t="s">
        <v>64</v>
      </c>
      <c r="E100" s="8">
        <v>20968</v>
      </c>
      <c r="F100" s="8">
        <v>6255</v>
      </c>
      <c r="G100" s="8">
        <v>24296</v>
      </c>
      <c r="H100" s="8">
        <v>22758</v>
      </c>
      <c r="I100" s="8">
        <v>55252</v>
      </c>
      <c r="J100" s="8">
        <v>41250</v>
      </c>
    </row>
    <row r="101" spans="1:16" ht="16.5" thickBot="1" x14ac:dyDescent="0.3">
      <c r="B101" s="2" t="s">
        <v>65</v>
      </c>
      <c r="E101" s="9">
        <v>3299</v>
      </c>
      <c r="F101" s="9">
        <v>3477</v>
      </c>
      <c r="G101" s="9">
        <v>3604</v>
      </c>
      <c r="H101" s="9">
        <v>3836</v>
      </c>
      <c r="I101" s="9">
        <v>3239</v>
      </c>
      <c r="J101" s="9">
        <v>3698</v>
      </c>
    </row>
    <row r="102" spans="1:16" x14ac:dyDescent="0.25">
      <c r="B102" s="10" t="s">
        <v>63</v>
      </c>
      <c r="E102" s="11">
        <f>SUM(E100:E101)</f>
        <v>24267</v>
      </c>
      <c r="F102" s="15">
        <f t="shared" ref="F102:O102" si="27">SUM(F100:F101)</f>
        <v>9732</v>
      </c>
      <c r="G102" s="15">
        <f t="shared" si="27"/>
        <v>27900</v>
      </c>
      <c r="H102" s="15">
        <f t="shared" si="27"/>
        <v>26594</v>
      </c>
      <c r="I102" s="15">
        <f t="shared" si="27"/>
        <v>58491</v>
      </c>
      <c r="J102" s="15">
        <f t="shared" si="27"/>
        <v>44948</v>
      </c>
      <c r="K102" s="15">
        <f t="shared" si="27"/>
        <v>0</v>
      </c>
      <c r="L102" s="15">
        <f t="shared" si="27"/>
        <v>0</v>
      </c>
      <c r="M102" s="15">
        <f t="shared" si="27"/>
        <v>0</v>
      </c>
      <c r="N102" s="15">
        <f t="shared" si="27"/>
        <v>0</v>
      </c>
      <c r="O102" s="15">
        <f t="shared" si="27"/>
        <v>0</v>
      </c>
    </row>
    <row r="105" spans="1:16" ht="26.25" x14ac:dyDescent="0.4">
      <c r="A105" s="2" t="s">
        <v>136</v>
      </c>
      <c r="B105" s="1" t="s">
        <v>67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7" spans="1:16" ht="16.5" thickBot="1" x14ac:dyDescent="0.3">
      <c r="F107" s="24">
        <v>2021</v>
      </c>
      <c r="G107" s="24">
        <f>F107+1</f>
        <v>2022</v>
      </c>
      <c r="H107" s="24">
        <f t="shared" ref="H107" si="28">G107+1</f>
        <v>2023</v>
      </c>
      <c r="I107" s="24">
        <f t="shared" ref="I107" si="29">H107+1</f>
        <v>2024</v>
      </c>
      <c r="J107" s="24">
        <f t="shared" ref="J107" si="30">I107+1</f>
        <v>2025</v>
      </c>
      <c r="K107" s="25">
        <v>2026</v>
      </c>
      <c r="L107" s="25">
        <f>K107+1</f>
        <v>2027</v>
      </c>
      <c r="M107" s="25">
        <f t="shared" ref="M107" si="31">L107+1</f>
        <v>2028</v>
      </c>
      <c r="N107" s="25">
        <f t="shared" ref="N107" si="32">M107+1</f>
        <v>2029</v>
      </c>
      <c r="O107" s="25">
        <f t="shared" ref="O107" si="33">N107+1</f>
        <v>2030</v>
      </c>
    </row>
    <row r="109" spans="1:16" x14ac:dyDescent="0.25">
      <c r="B109" s="10" t="s">
        <v>68</v>
      </c>
    </row>
    <row r="110" spans="1:16" x14ac:dyDescent="0.25">
      <c r="B110" s="13" t="s">
        <v>83</v>
      </c>
    </row>
    <row r="111" spans="1:16" x14ac:dyDescent="0.25">
      <c r="B111" s="6" t="s">
        <v>64</v>
      </c>
      <c r="F111" s="8">
        <f>F100</f>
        <v>6255</v>
      </c>
      <c r="G111" s="8">
        <f t="shared" ref="G111:J111" si="34">G100</f>
        <v>24296</v>
      </c>
      <c r="H111" s="8">
        <f t="shared" si="34"/>
        <v>22758</v>
      </c>
      <c r="I111" s="8">
        <f t="shared" si="34"/>
        <v>55252</v>
      </c>
      <c r="J111" s="8">
        <f t="shared" si="34"/>
        <v>41250</v>
      </c>
      <c r="K111" s="8"/>
      <c r="L111" s="8"/>
      <c r="M111" s="8"/>
      <c r="N111" s="8"/>
      <c r="O111" s="8"/>
    </row>
    <row r="112" spans="1:16" x14ac:dyDescent="0.25">
      <c r="B112" s="6" t="s">
        <v>65</v>
      </c>
      <c r="F112" s="8">
        <f>F101</f>
        <v>3477</v>
      </c>
      <c r="G112" s="8">
        <f t="shared" ref="G112:J112" si="35">G101</f>
        <v>3604</v>
      </c>
      <c r="H112" s="8">
        <f t="shared" si="35"/>
        <v>3836</v>
      </c>
      <c r="I112" s="8">
        <f t="shared" si="35"/>
        <v>3239</v>
      </c>
      <c r="J112" s="8">
        <f t="shared" si="35"/>
        <v>3698</v>
      </c>
      <c r="K112" s="8"/>
      <c r="L112" s="8"/>
      <c r="M112" s="8"/>
      <c r="N112" s="8"/>
      <c r="O112" s="8"/>
    </row>
    <row r="113" spans="2:15" x14ac:dyDescent="0.25">
      <c r="B113" s="6" t="s">
        <v>74</v>
      </c>
      <c r="F113" s="8">
        <v>65110</v>
      </c>
      <c r="G113" s="8">
        <v>89894</v>
      </c>
      <c r="H113" s="8">
        <v>66979</v>
      </c>
      <c r="I113" s="8">
        <v>68958</v>
      </c>
      <c r="J113" s="8">
        <v>90446</v>
      </c>
      <c r="K113" s="8"/>
      <c r="L113" s="8"/>
      <c r="M113" s="8"/>
      <c r="N113" s="8"/>
      <c r="O113" s="8"/>
    </row>
    <row r="114" spans="2:15" x14ac:dyDescent="0.25">
      <c r="B114" s="6" t="s">
        <v>69</v>
      </c>
      <c r="F114" s="8">
        <v>4276</v>
      </c>
      <c r="G114" s="8">
        <v>555</v>
      </c>
      <c r="H114" s="8">
        <v>550</v>
      </c>
      <c r="I114" s="8">
        <v>986</v>
      </c>
      <c r="J114" s="8">
        <v>6442</v>
      </c>
      <c r="K114" s="8"/>
      <c r="L114" s="8"/>
      <c r="M114" s="8"/>
      <c r="N114" s="8"/>
      <c r="O114" s="8"/>
    </row>
    <row r="115" spans="2:15" x14ac:dyDescent="0.25">
      <c r="B115" s="6" t="s">
        <v>70</v>
      </c>
      <c r="F115" s="8">
        <v>142192</v>
      </c>
      <c r="G115" s="8">
        <v>120560</v>
      </c>
      <c r="H115" s="8">
        <v>84947</v>
      </c>
      <c r="I115" s="8">
        <v>93872</v>
      </c>
      <c r="J115" s="8">
        <v>127363</v>
      </c>
      <c r="K115" s="8"/>
      <c r="L115" s="8"/>
      <c r="M115" s="8"/>
      <c r="N115" s="8"/>
      <c r="O115" s="8"/>
    </row>
    <row r="116" spans="2:15" x14ac:dyDescent="0.25">
      <c r="B116" s="6" t="s">
        <v>71</v>
      </c>
      <c r="F116" s="8">
        <v>8918</v>
      </c>
      <c r="G116" s="8">
        <v>16364</v>
      </c>
      <c r="H116" s="8">
        <v>26312</v>
      </c>
      <c r="I116" s="8">
        <v>6396</v>
      </c>
      <c r="J116" s="8">
        <v>4500</v>
      </c>
      <c r="K116" s="8"/>
      <c r="L116" s="8"/>
      <c r="M116" s="8"/>
      <c r="N116" s="8"/>
      <c r="O116" s="8"/>
    </row>
    <row r="117" spans="2:15" x14ac:dyDescent="0.25">
      <c r="B117" s="6" t="s">
        <v>39</v>
      </c>
      <c r="F117" s="8">
        <v>0</v>
      </c>
      <c r="G117" s="8">
        <v>0</v>
      </c>
      <c r="H117" s="8">
        <v>0</v>
      </c>
      <c r="I117" s="8">
        <v>21462</v>
      </c>
      <c r="J117" s="8">
        <v>15965</v>
      </c>
      <c r="K117" s="8"/>
      <c r="L117" s="8"/>
      <c r="M117" s="8"/>
      <c r="N117" s="8"/>
      <c r="O117" s="8"/>
    </row>
    <row r="118" spans="2:15" ht="16.5" thickBot="1" x14ac:dyDescent="0.3">
      <c r="B118" s="6" t="s">
        <v>72</v>
      </c>
      <c r="F118" s="9">
        <v>0</v>
      </c>
      <c r="G118" s="9">
        <v>0</v>
      </c>
      <c r="H118" s="9">
        <v>0</v>
      </c>
      <c r="I118" s="9">
        <v>4170</v>
      </c>
      <c r="J118" s="9">
        <v>1256</v>
      </c>
    </row>
    <row r="119" spans="2:15" x14ac:dyDescent="0.25">
      <c r="B119" s="13" t="s">
        <v>73</v>
      </c>
      <c r="F119" s="15">
        <f>SUM(F111:F118)</f>
        <v>230228</v>
      </c>
      <c r="G119" s="15">
        <f t="shared" ref="G119:O119" si="36">SUM(G111:G118)</f>
        <v>255273</v>
      </c>
      <c r="H119" s="15">
        <f t="shared" si="36"/>
        <v>205382</v>
      </c>
      <c r="I119" s="15">
        <f t="shared" si="36"/>
        <v>254335</v>
      </c>
      <c r="J119" s="15">
        <f t="shared" si="36"/>
        <v>290920</v>
      </c>
      <c r="K119" s="15">
        <f t="shared" si="36"/>
        <v>0</v>
      </c>
      <c r="L119" s="15">
        <f t="shared" si="36"/>
        <v>0</v>
      </c>
      <c r="M119" s="15">
        <f t="shared" si="36"/>
        <v>0</v>
      </c>
      <c r="N119" s="15">
        <f t="shared" si="36"/>
        <v>0</v>
      </c>
      <c r="O119" s="15">
        <f t="shared" si="36"/>
        <v>0</v>
      </c>
    </row>
    <row r="121" spans="2:15" x14ac:dyDescent="0.25">
      <c r="B121" s="10" t="s">
        <v>82</v>
      </c>
    </row>
    <row r="122" spans="2:15" x14ac:dyDescent="0.25">
      <c r="B122" s="6" t="s">
        <v>75</v>
      </c>
      <c r="F122" s="8">
        <v>17344</v>
      </c>
      <c r="G122" s="8">
        <v>13844</v>
      </c>
      <c r="H122" s="8">
        <v>14928</v>
      </c>
      <c r="I122" s="8">
        <v>15406</v>
      </c>
      <c r="J122" s="8">
        <v>23014</v>
      </c>
      <c r="K122" s="8"/>
      <c r="L122" s="8"/>
      <c r="M122" s="8"/>
      <c r="N122" s="8"/>
      <c r="O122" s="8"/>
    </row>
    <row r="123" spans="2:15" x14ac:dyDescent="0.25">
      <c r="B123" s="6" t="s">
        <v>76</v>
      </c>
      <c r="F123" s="8">
        <v>0</v>
      </c>
      <c r="G123" s="8">
        <v>13282</v>
      </c>
      <c r="H123" s="8">
        <v>27145</v>
      </c>
      <c r="I123" s="8">
        <v>23275</v>
      </c>
      <c r="J123" s="8">
        <v>52911</v>
      </c>
      <c r="K123" s="8"/>
      <c r="L123" s="8"/>
      <c r="M123" s="8"/>
      <c r="N123" s="8"/>
      <c r="O123" s="8"/>
    </row>
    <row r="124" spans="2:15" x14ac:dyDescent="0.25">
      <c r="B124" s="6" t="s">
        <v>77</v>
      </c>
      <c r="F124" s="8">
        <v>7784</v>
      </c>
      <c r="G124" s="8">
        <v>5660</v>
      </c>
      <c r="H124" s="8">
        <v>3914</v>
      </c>
      <c r="I124" s="8">
        <v>2454</v>
      </c>
      <c r="J124" s="8">
        <v>1236</v>
      </c>
      <c r="K124" s="8"/>
      <c r="L124" s="8"/>
      <c r="M124" s="8"/>
      <c r="N124" s="8"/>
      <c r="O124" s="8"/>
    </row>
    <row r="125" spans="2:15" x14ac:dyDescent="0.25">
      <c r="B125" s="6" t="s">
        <v>78</v>
      </c>
      <c r="F125" s="8">
        <v>29835</v>
      </c>
      <c r="G125" s="8">
        <v>29835</v>
      </c>
      <c r="H125" s="8">
        <v>29835</v>
      </c>
      <c r="I125" s="8">
        <v>29835</v>
      </c>
      <c r="J125" s="8">
        <v>29835</v>
      </c>
      <c r="K125" s="8"/>
      <c r="L125" s="8"/>
      <c r="M125" s="8"/>
      <c r="N125" s="8"/>
      <c r="O125" s="8"/>
    </row>
    <row r="126" spans="2:15" x14ac:dyDescent="0.25">
      <c r="B126" s="6" t="s">
        <v>79</v>
      </c>
      <c r="F126" s="8">
        <v>0</v>
      </c>
      <c r="G126" s="8">
        <v>0</v>
      </c>
      <c r="H126" s="8">
        <v>0</v>
      </c>
      <c r="I126" s="8">
        <v>0</v>
      </c>
      <c r="J126" s="8">
        <v>13322</v>
      </c>
      <c r="K126" s="8"/>
      <c r="L126" s="8"/>
      <c r="M126" s="8"/>
      <c r="N126" s="8"/>
      <c r="O126" s="8"/>
    </row>
    <row r="127" spans="2:15" x14ac:dyDescent="0.25">
      <c r="B127" s="6" t="s">
        <v>80</v>
      </c>
      <c r="F127" s="8">
        <v>0</v>
      </c>
      <c r="G127" s="8">
        <v>0</v>
      </c>
      <c r="H127" s="8">
        <v>0</v>
      </c>
      <c r="I127" s="8">
        <v>2503</v>
      </c>
      <c r="J127" s="8">
        <v>12893</v>
      </c>
      <c r="K127" s="8"/>
      <c r="L127" s="8"/>
      <c r="M127" s="8"/>
      <c r="N127" s="8"/>
      <c r="O127" s="8"/>
    </row>
    <row r="128" spans="2:15" ht="16.5" thickBot="1" x14ac:dyDescent="0.3">
      <c r="B128" s="6" t="s">
        <v>81</v>
      </c>
      <c r="F128" s="9">
        <v>15347</v>
      </c>
      <c r="G128" s="9">
        <v>2019</v>
      </c>
      <c r="H128" s="9">
        <v>3099</v>
      </c>
      <c r="I128" s="9">
        <v>374</v>
      </c>
      <c r="J128" s="9">
        <v>614</v>
      </c>
    </row>
    <row r="129" spans="2:15" x14ac:dyDescent="0.25">
      <c r="B129" s="13" t="s">
        <v>84</v>
      </c>
      <c r="F129" s="15">
        <f>SUM(F122:F128)</f>
        <v>70310</v>
      </c>
      <c r="G129" s="15">
        <f t="shared" ref="G129:O129" si="37">SUM(G122:G128)</f>
        <v>64640</v>
      </c>
      <c r="H129" s="15">
        <f t="shared" si="37"/>
        <v>78921</v>
      </c>
      <c r="I129" s="15">
        <f t="shared" si="37"/>
        <v>73847</v>
      </c>
      <c r="J129" s="15">
        <f t="shared" si="37"/>
        <v>133825</v>
      </c>
      <c r="K129" s="15">
        <f t="shared" si="37"/>
        <v>0</v>
      </c>
      <c r="L129" s="15">
        <f t="shared" si="37"/>
        <v>0</v>
      </c>
      <c r="M129" s="15">
        <f t="shared" si="37"/>
        <v>0</v>
      </c>
      <c r="N129" s="15">
        <f t="shared" si="37"/>
        <v>0</v>
      </c>
      <c r="O129" s="15">
        <f t="shared" si="37"/>
        <v>0</v>
      </c>
    </row>
    <row r="130" spans="2:15" ht="16.5" thickBot="1" x14ac:dyDescent="0.3"/>
    <row r="131" spans="2:15" x14ac:dyDescent="0.25">
      <c r="B131" s="10" t="s">
        <v>85</v>
      </c>
      <c r="F131" s="15">
        <f>F119+F129</f>
        <v>300538</v>
      </c>
      <c r="G131" s="15">
        <f t="shared" ref="G131:O131" si="38">G119+G129</f>
        <v>319913</v>
      </c>
      <c r="H131" s="15">
        <f t="shared" si="38"/>
        <v>284303</v>
      </c>
      <c r="I131" s="15">
        <f t="shared" si="38"/>
        <v>328182</v>
      </c>
      <c r="J131" s="15">
        <f t="shared" si="38"/>
        <v>424745</v>
      </c>
      <c r="K131" s="15">
        <f t="shared" si="38"/>
        <v>0</v>
      </c>
      <c r="L131" s="15">
        <f t="shared" si="38"/>
        <v>0</v>
      </c>
      <c r="M131" s="15">
        <f t="shared" si="38"/>
        <v>0</v>
      </c>
      <c r="N131" s="15">
        <f t="shared" si="38"/>
        <v>0</v>
      </c>
      <c r="O131" s="15">
        <f t="shared" si="38"/>
        <v>0</v>
      </c>
    </row>
    <row r="133" spans="2:15" x14ac:dyDescent="0.25">
      <c r="B133" s="10" t="s">
        <v>86</v>
      </c>
    </row>
    <row r="134" spans="2:15" x14ac:dyDescent="0.25">
      <c r="B134" s="13" t="s">
        <v>87</v>
      </c>
    </row>
    <row r="135" spans="2:15" x14ac:dyDescent="0.25">
      <c r="B135" s="6" t="s">
        <v>29</v>
      </c>
      <c r="F135" s="8">
        <v>93256</v>
      </c>
      <c r="G135" s="8">
        <v>76430</v>
      </c>
      <c r="H135" s="8">
        <v>67355</v>
      </c>
      <c r="I135" s="8">
        <v>58208</v>
      </c>
      <c r="J135" s="8">
        <v>48196</v>
      </c>
      <c r="K135" s="8"/>
      <c r="L135" s="8"/>
      <c r="M135" s="8"/>
      <c r="N135" s="8"/>
      <c r="O135" s="8"/>
    </row>
    <row r="136" spans="2:15" x14ac:dyDescent="0.25">
      <c r="B136" s="6" t="s">
        <v>88</v>
      </c>
      <c r="F136" s="8">
        <v>254</v>
      </c>
      <c r="G136" s="8">
        <v>130</v>
      </c>
      <c r="H136" s="8">
        <v>139</v>
      </c>
      <c r="I136" s="8">
        <v>52</v>
      </c>
      <c r="J136" s="8">
        <v>28</v>
      </c>
      <c r="K136" s="8"/>
      <c r="L136" s="8"/>
      <c r="M136" s="8"/>
      <c r="N136" s="8"/>
      <c r="O136" s="8"/>
    </row>
    <row r="137" spans="2:15" x14ac:dyDescent="0.25">
      <c r="B137" s="6" t="s">
        <v>95</v>
      </c>
      <c r="F137" s="8">
        <v>130000</v>
      </c>
      <c r="G137" s="8">
        <v>130000</v>
      </c>
      <c r="H137" s="8">
        <v>50000</v>
      </c>
      <c r="I137" s="8">
        <v>95000</v>
      </c>
      <c r="J137" s="8">
        <v>0</v>
      </c>
      <c r="K137" s="8"/>
      <c r="L137" s="8"/>
      <c r="M137" s="8"/>
      <c r="N137" s="8"/>
      <c r="O137" s="8"/>
    </row>
    <row r="138" spans="2:15" x14ac:dyDescent="0.25">
      <c r="B138" s="6" t="s">
        <v>94</v>
      </c>
      <c r="F138" s="8">
        <v>0</v>
      </c>
      <c r="G138" s="8">
        <v>90</v>
      </c>
      <c r="H138" s="8">
        <v>76</v>
      </c>
      <c r="I138" s="8">
        <v>78</v>
      </c>
      <c r="J138" s="8">
        <v>355</v>
      </c>
      <c r="K138" s="8"/>
      <c r="L138" s="8"/>
      <c r="M138" s="8"/>
      <c r="N138" s="8"/>
      <c r="O138" s="8"/>
    </row>
    <row r="139" spans="2:15" x14ac:dyDescent="0.25">
      <c r="B139" s="6" t="s">
        <v>96</v>
      </c>
      <c r="F139" s="8">
        <v>0</v>
      </c>
      <c r="G139" s="8">
        <v>2894</v>
      </c>
      <c r="H139" s="8">
        <v>3912</v>
      </c>
      <c r="I139" s="8">
        <v>4503</v>
      </c>
      <c r="J139" s="8">
        <v>6346</v>
      </c>
      <c r="K139" s="8"/>
      <c r="L139" s="8"/>
      <c r="M139" s="8"/>
      <c r="N139" s="8"/>
      <c r="O139" s="8"/>
    </row>
    <row r="140" spans="2:15" x14ac:dyDescent="0.25">
      <c r="B140" s="6" t="s">
        <v>89</v>
      </c>
      <c r="F140" s="8">
        <v>25000</v>
      </c>
      <c r="G140" s="8">
        <v>75614</v>
      </c>
      <c r="H140" s="8">
        <v>94820</v>
      </c>
      <c r="I140" s="8">
        <v>25000</v>
      </c>
      <c r="J140" s="8">
        <v>0</v>
      </c>
      <c r="K140" s="8"/>
      <c r="L140" s="8"/>
      <c r="M140" s="8"/>
      <c r="N140" s="8"/>
      <c r="O140" s="8"/>
    </row>
    <row r="141" spans="2:15" ht="16.5" thickBot="1" x14ac:dyDescent="0.3">
      <c r="B141" s="6" t="s">
        <v>90</v>
      </c>
      <c r="F141" s="9">
        <v>34801</v>
      </c>
      <c r="G141" s="9">
        <v>34109</v>
      </c>
      <c r="H141" s="9">
        <v>31999</v>
      </c>
      <c r="I141" s="9">
        <v>44726</v>
      </c>
      <c r="J141" s="9">
        <v>37353</v>
      </c>
      <c r="K141" s="9"/>
      <c r="L141" s="9"/>
      <c r="M141" s="9"/>
      <c r="N141" s="9"/>
      <c r="O141" s="9"/>
    </row>
    <row r="142" spans="2:15" x14ac:dyDescent="0.25">
      <c r="B142" s="13" t="s">
        <v>91</v>
      </c>
      <c r="F142" s="11">
        <f>SUM(F135:F141)</f>
        <v>283311</v>
      </c>
      <c r="G142" s="11">
        <f t="shared" ref="G142:O142" si="39">SUM(G135:G141)</f>
        <v>319267</v>
      </c>
      <c r="H142" s="11">
        <f t="shared" si="39"/>
        <v>248301</v>
      </c>
      <c r="I142" s="11">
        <f t="shared" si="39"/>
        <v>227567</v>
      </c>
      <c r="J142" s="11">
        <f t="shared" si="39"/>
        <v>92278</v>
      </c>
      <c r="K142" s="11">
        <f t="shared" si="39"/>
        <v>0</v>
      </c>
      <c r="L142" s="11">
        <f t="shared" si="39"/>
        <v>0</v>
      </c>
      <c r="M142" s="11">
        <f t="shared" si="39"/>
        <v>0</v>
      </c>
      <c r="N142" s="11">
        <f t="shared" si="39"/>
        <v>0</v>
      </c>
      <c r="O142" s="11">
        <f t="shared" si="39"/>
        <v>0</v>
      </c>
    </row>
    <row r="144" spans="2:15" x14ac:dyDescent="0.25">
      <c r="B144" s="13" t="s">
        <v>100</v>
      </c>
    </row>
    <row r="145" spans="2:15" x14ac:dyDescent="0.25">
      <c r="B145" s="6" t="s">
        <v>24</v>
      </c>
      <c r="F145" s="8">
        <v>1016</v>
      </c>
      <c r="G145" s="8">
        <v>1278</v>
      </c>
      <c r="H145" s="8">
        <v>1478</v>
      </c>
      <c r="I145" s="8">
        <v>1568</v>
      </c>
      <c r="J145" s="8">
        <v>0</v>
      </c>
      <c r="K145" s="8"/>
      <c r="L145" s="8"/>
      <c r="M145" s="8"/>
      <c r="N145" s="8"/>
      <c r="O145" s="8"/>
    </row>
    <row r="146" spans="2:15" x14ac:dyDescent="0.25">
      <c r="B146" s="6" t="s">
        <v>92</v>
      </c>
      <c r="F146" s="8">
        <v>25636</v>
      </c>
      <c r="G146" s="8">
        <v>5029</v>
      </c>
      <c r="H146" s="8">
        <v>90</v>
      </c>
      <c r="I146" s="8">
        <v>38</v>
      </c>
      <c r="J146" s="8">
        <v>10</v>
      </c>
      <c r="K146" s="8"/>
      <c r="L146" s="8"/>
      <c r="M146" s="8"/>
      <c r="N146" s="8"/>
      <c r="O146" s="8"/>
    </row>
    <row r="147" spans="2:15" x14ac:dyDescent="0.25">
      <c r="B147" s="6" t="s">
        <v>93</v>
      </c>
      <c r="F147" s="8">
        <v>0</v>
      </c>
      <c r="G147" s="8">
        <v>0</v>
      </c>
      <c r="H147" s="8">
        <v>0</v>
      </c>
      <c r="I147" s="8">
        <v>0</v>
      </c>
      <c r="J147" s="8">
        <v>95000</v>
      </c>
      <c r="K147" s="8"/>
      <c r="L147" s="8"/>
      <c r="M147" s="8"/>
      <c r="N147" s="8"/>
      <c r="O147" s="8"/>
    </row>
    <row r="148" spans="2:15" x14ac:dyDescent="0.25">
      <c r="B148" s="6" t="s">
        <v>97</v>
      </c>
      <c r="F148" s="8">
        <v>0</v>
      </c>
      <c r="G148" s="8">
        <v>170</v>
      </c>
      <c r="H148" s="8">
        <v>94</v>
      </c>
      <c r="I148" s="8">
        <v>16</v>
      </c>
      <c r="J148" s="8">
        <v>1224</v>
      </c>
      <c r="K148" s="8"/>
      <c r="L148" s="8"/>
      <c r="M148" s="8"/>
      <c r="N148" s="8"/>
      <c r="O148" s="8"/>
    </row>
    <row r="149" spans="2:15" x14ac:dyDescent="0.25">
      <c r="B149" s="6" t="s">
        <v>98</v>
      </c>
      <c r="F149" s="8">
        <v>0</v>
      </c>
      <c r="G149" s="8">
        <v>10971</v>
      </c>
      <c r="H149" s="8">
        <v>25070</v>
      </c>
      <c r="I149" s="8">
        <v>20663</v>
      </c>
      <c r="J149" s="8">
        <v>49397</v>
      </c>
      <c r="K149" s="8"/>
      <c r="L149" s="8"/>
      <c r="M149" s="8"/>
      <c r="N149" s="8"/>
      <c r="O149" s="8"/>
    </row>
    <row r="150" spans="2:15" x14ac:dyDescent="0.25">
      <c r="B150" s="6" t="s">
        <v>99</v>
      </c>
      <c r="F150" s="8">
        <v>3330</v>
      </c>
      <c r="G150" s="8">
        <v>3199</v>
      </c>
      <c r="H150" s="8">
        <v>2401</v>
      </c>
      <c r="I150" s="8">
        <v>1877</v>
      </c>
      <c r="J150" s="8">
        <v>1699</v>
      </c>
      <c r="K150" s="8"/>
      <c r="L150" s="8"/>
      <c r="M150" s="8"/>
      <c r="N150" s="8"/>
      <c r="O150" s="8"/>
    </row>
    <row r="151" spans="2:15" ht="16.5" thickBot="1" x14ac:dyDescent="0.3">
      <c r="B151" s="6" t="s">
        <v>31</v>
      </c>
      <c r="F151" s="9">
        <v>29268</v>
      </c>
      <c r="G151" s="9">
        <v>10371</v>
      </c>
      <c r="H151" s="9">
        <v>10786</v>
      </c>
      <c r="I151" s="9">
        <v>11203</v>
      </c>
      <c r="J151" s="9">
        <v>6528</v>
      </c>
      <c r="K151" s="9"/>
      <c r="L151" s="9"/>
      <c r="M151" s="9"/>
      <c r="N151" s="9"/>
      <c r="O151" s="9"/>
    </row>
    <row r="152" spans="2:15" x14ac:dyDescent="0.25">
      <c r="B152" s="13" t="s">
        <v>101</v>
      </c>
      <c r="F152" s="11">
        <f t="shared" ref="F152:O152" si="40">SUM(F145:F151)</f>
        <v>59250</v>
      </c>
      <c r="G152" s="11">
        <f t="shared" si="40"/>
        <v>31018</v>
      </c>
      <c r="H152" s="11">
        <f t="shared" si="40"/>
        <v>39919</v>
      </c>
      <c r="I152" s="11">
        <f t="shared" si="40"/>
        <v>35365</v>
      </c>
      <c r="J152" s="11">
        <f t="shared" si="40"/>
        <v>153858</v>
      </c>
      <c r="K152" s="11">
        <f t="shared" si="40"/>
        <v>0</v>
      </c>
      <c r="L152" s="11">
        <f t="shared" si="40"/>
        <v>0</v>
      </c>
      <c r="M152" s="11">
        <f t="shared" si="40"/>
        <v>0</v>
      </c>
      <c r="N152" s="11">
        <f t="shared" si="40"/>
        <v>0</v>
      </c>
      <c r="O152" s="11">
        <f t="shared" si="40"/>
        <v>0</v>
      </c>
    </row>
    <row r="153" spans="2:15" ht="16.5" thickBot="1" x14ac:dyDescent="0.3"/>
    <row r="154" spans="2:15" x14ac:dyDescent="0.25">
      <c r="B154" s="10" t="s">
        <v>102</v>
      </c>
      <c r="F154" s="15">
        <f t="shared" ref="F154:O154" si="41">F142+F152</f>
        <v>342561</v>
      </c>
      <c r="G154" s="15">
        <f t="shared" si="41"/>
        <v>350285</v>
      </c>
      <c r="H154" s="15">
        <f t="shared" si="41"/>
        <v>288220</v>
      </c>
      <c r="I154" s="15">
        <f t="shared" si="41"/>
        <v>262932</v>
      </c>
      <c r="J154" s="15">
        <f t="shared" si="41"/>
        <v>246136</v>
      </c>
      <c r="K154" s="15">
        <f t="shared" si="41"/>
        <v>0</v>
      </c>
      <c r="L154" s="15">
        <f t="shared" si="41"/>
        <v>0</v>
      </c>
      <c r="M154" s="15">
        <f t="shared" si="41"/>
        <v>0</v>
      </c>
      <c r="N154" s="15">
        <f t="shared" si="41"/>
        <v>0</v>
      </c>
      <c r="O154" s="15">
        <f t="shared" si="41"/>
        <v>0</v>
      </c>
    </row>
    <row r="156" spans="2:15" x14ac:dyDescent="0.25">
      <c r="B156" s="10" t="s">
        <v>103</v>
      </c>
    </row>
    <row r="157" spans="2:15" x14ac:dyDescent="0.25">
      <c r="B157" s="6" t="s">
        <v>108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/>
      <c r="L157" s="8"/>
      <c r="M157" s="8"/>
      <c r="N157" s="8"/>
      <c r="O157" s="8"/>
    </row>
    <row r="158" spans="2:15" x14ac:dyDescent="0.25">
      <c r="B158" s="6" t="s">
        <v>104</v>
      </c>
      <c r="F158" s="8">
        <v>23</v>
      </c>
      <c r="G158" s="8">
        <v>23</v>
      </c>
      <c r="H158" s="8">
        <v>23</v>
      </c>
      <c r="I158" s="8">
        <v>23</v>
      </c>
      <c r="J158" s="8">
        <v>23</v>
      </c>
      <c r="K158" s="8"/>
      <c r="L158" s="8"/>
      <c r="M158" s="8"/>
      <c r="N158" s="8"/>
      <c r="O158" s="8"/>
    </row>
    <row r="159" spans="2:15" x14ac:dyDescent="0.25">
      <c r="B159" s="6" t="s">
        <v>105</v>
      </c>
      <c r="F159" s="8">
        <v>157436</v>
      </c>
      <c r="G159" s="8">
        <v>157673</v>
      </c>
      <c r="H159" s="8">
        <v>157770</v>
      </c>
      <c r="I159" s="8">
        <v>157561</v>
      </c>
      <c r="J159" s="8">
        <v>157602</v>
      </c>
      <c r="K159" s="8"/>
      <c r="L159" s="8"/>
      <c r="M159" s="8"/>
      <c r="N159" s="8"/>
      <c r="O159" s="8"/>
    </row>
    <row r="160" spans="2:15" x14ac:dyDescent="0.25">
      <c r="B160" s="6" t="s">
        <v>106</v>
      </c>
      <c r="F160" s="8">
        <v>-198366</v>
      </c>
      <c r="G160" s="8">
        <v>-187096</v>
      </c>
      <c r="H160" s="8">
        <v>-160790</v>
      </c>
      <c r="I160" s="8">
        <v>-91511</v>
      </c>
      <c r="J160" s="8">
        <v>22476</v>
      </c>
      <c r="K160" s="8"/>
      <c r="L160" s="8"/>
      <c r="M160" s="8"/>
      <c r="N160" s="8"/>
      <c r="O160" s="8"/>
    </row>
    <row r="161" spans="1:16" ht="16.5" thickBot="1" x14ac:dyDescent="0.3">
      <c r="B161" s="6" t="s">
        <v>107</v>
      </c>
      <c r="F161" s="9">
        <v>-1116</v>
      </c>
      <c r="G161" s="9">
        <v>-972</v>
      </c>
      <c r="H161" s="9">
        <v>-920</v>
      </c>
      <c r="I161" s="9">
        <v>-823</v>
      </c>
      <c r="J161" s="9">
        <v>-1492</v>
      </c>
      <c r="K161" s="9"/>
      <c r="L161" s="9"/>
      <c r="M161" s="9"/>
      <c r="N161" s="9"/>
      <c r="O161" s="9"/>
    </row>
    <row r="162" spans="1:16" x14ac:dyDescent="0.25">
      <c r="B162" s="10" t="s">
        <v>109</v>
      </c>
      <c r="F162" s="11">
        <f>SUM(F157:F161)</f>
        <v>-42023</v>
      </c>
      <c r="G162" s="11">
        <f t="shared" ref="G162:O162" si="42">SUM(G157:G161)</f>
        <v>-30372</v>
      </c>
      <c r="H162" s="11">
        <f t="shared" si="42"/>
        <v>-3917</v>
      </c>
      <c r="I162" s="11">
        <f t="shared" si="42"/>
        <v>65250</v>
      </c>
      <c r="J162" s="11">
        <f t="shared" si="42"/>
        <v>178609</v>
      </c>
      <c r="K162" s="11">
        <f t="shared" si="42"/>
        <v>0</v>
      </c>
      <c r="L162" s="11">
        <f t="shared" si="42"/>
        <v>0</v>
      </c>
      <c r="M162" s="11">
        <f t="shared" si="42"/>
        <v>0</v>
      </c>
      <c r="N162" s="11">
        <f t="shared" si="42"/>
        <v>0</v>
      </c>
      <c r="O162" s="11">
        <f t="shared" si="42"/>
        <v>0</v>
      </c>
    </row>
    <row r="163" spans="1:16" ht="16.5" thickBot="1" x14ac:dyDescent="0.3"/>
    <row r="164" spans="1:16" x14ac:dyDescent="0.25">
      <c r="B164" s="10" t="s">
        <v>110</v>
      </c>
      <c r="F164" s="15">
        <f>F162+F154</f>
        <v>300538</v>
      </c>
      <c r="G164" s="15">
        <f t="shared" ref="G164:O164" si="43">G162+G154</f>
        <v>319913</v>
      </c>
      <c r="H164" s="15">
        <f t="shared" si="43"/>
        <v>284303</v>
      </c>
      <c r="I164" s="15">
        <f t="shared" si="43"/>
        <v>328182</v>
      </c>
      <c r="J164" s="15">
        <f t="shared" si="43"/>
        <v>424745</v>
      </c>
      <c r="K164" s="15">
        <f t="shared" si="43"/>
        <v>0</v>
      </c>
      <c r="L164" s="15">
        <f t="shared" si="43"/>
        <v>0</v>
      </c>
      <c r="M164" s="15">
        <f t="shared" si="43"/>
        <v>0</v>
      </c>
      <c r="N164" s="15">
        <f t="shared" si="43"/>
        <v>0</v>
      </c>
      <c r="O164" s="15">
        <f t="shared" si="43"/>
        <v>0</v>
      </c>
    </row>
    <row r="166" spans="1:16" x14ac:dyDescent="0.25">
      <c r="B166" s="10" t="s">
        <v>111</v>
      </c>
      <c r="F166" s="7">
        <f>F131-F164</f>
        <v>0</v>
      </c>
      <c r="G166" s="7">
        <f t="shared" ref="G166:O166" si="44">G131-G164</f>
        <v>0</v>
      </c>
      <c r="H166" s="7">
        <f t="shared" si="44"/>
        <v>0</v>
      </c>
      <c r="I166" s="7">
        <f t="shared" si="44"/>
        <v>0</v>
      </c>
      <c r="J166" s="7">
        <f t="shared" si="44"/>
        <v>0</v>
      </c>
      <c r="K166" s="7">
        <f t="shared" si="44"/>
        <v>0</v>
      </c>
      <c r="L166" s="7">
        <f t="shared" si="44"/>
        <v>0</v>
      </c>
      <c r="M166" s="7">
        <f t="shared" si="44"/>
        <v>0</v>
      </c>
      <c r="N166" s="7">
        <f t="shared" si="44"/>
        <v>0</v>
      </c>
      <c r="O166" s="7">
        <f t="shared" si="44"/>
        <v>0</v>
      </c>
    </row>
    <row r="169" spans="1:16" ht="26.25" x14ac:dyDescent="0.4">
      <c r="A169" s="2" t="s">
        <v>136</v>
      </c>
      <c r="B169" s="1" t="s">
        <v>112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</row>
    <row r="171" spans="1:16" ht="16.5" thickBot="1" x14ac:dyDescent="0.3">
      <c r="F171" s="24">
        <v>2021</v>
      </c>
      <c r="G171" s="24">
        <f>F171+1</f>
        <v>2022</v>
      </c>
      <c r="H171" s="24">
        <f t="shared" ref="H171:J171" si="45">G171+1</f>
        <v>2023</v>
      </c>
      <c r="I171" s="24">
        <f t="shared" si="45"/>
        <v>2024</v>
      </c>
      <c r="J171" s="24">
        <f t="shared" si="45"/>
        <v>2025</v>
      </c>
      <c r="K171" s="25">
        <v>2026</v>
      </c>
      <c r="L171" s="25">
        <f>K171+1</f>
        <v>2027</v>
      </c>
      <c r="M171" s="25">
        <f t="shared" ref="M171:O171" si="46">L171+1</f>
        <v>2028</v>
      </c>
      <c r="N171" s="25">
        <f t="shared" si="46"/>
        <v>2029</v>
      </c>
      <c r="O171" s="25">
        <f t="shared" si="46"/>
        <v>2030</v>
      </c>
    </row>
    <row r="172" spans="1:16" x14ac:dyDescent="0.25">
      <c r="F172" s="3"/>
      <c r="G172" s="3"/>
      <c r="H172" s="3"/>
      <c r="I172" s="3"/>
      <c r="J172" s="3"/>
      <c r="K172" s="4"/>
      <c r="L172" s="4"/>
      <c r="M172" s="4"/>
      <c r="N172" s="4"/>
      <c r="O172" s="4"/>
    </row>
    <row r="173" spans="1:16" x14ac:dyDescent="0.25">
      <c r="B173" s="10" t="s">
        <v>118</v>
      </c>
      <c r="F173" s="3"/>
      <c r="G173" s="3"/>
      <c r="H173" s="3"/>
      <c r="I173" s="3"/>
      <c r="J173" s="3"/>
      <c r="K173" s="4"/>
      <c r="L173" s="4"/>
      <c r="M173" s="4"/>
      <c r="N173" s="4"/>
      <c r="O173" s="4"/>
    </row>
    <row r="174" spans="1:16" x14ac:dyDescent="0.25">
      <c r="B174" s="6" t="s">
        <v>113</v>
      </c>
      <c r="F174" s="8">
        <v>123132</v>
      </c>
      <c r="G174" s="8">
        <v>179491</v>
      </c>
      <c r="H174" s="8">
        <v>225106</v>
      </c>
      <c r="I174" s="8">
        <v>325749</v>
      </c>
      <c r="J174" s="8">
        <v>586347</v>
      </c>
      <c r="K174" s="8"/>
      <c r="L174" s="8"/>
      <c r="M174" s="8"/>
      <c r="N174" s="8"/>
      <c r="O174" s="8"/>
    </row>
    <row r="175" spans="1:16" x14ac:dyDescent="0.25">
      <c r="B175" s="6" t="s">
        <v>114</v>
      </c>
      <c r="F175" s="8">
        <v>153289</v>
      </c>
      <c r="G175" s="8">
        <v>224669</v>
      </c>
      <c r="H175" s="8">
        <v>160334</v>
      </c>
      <c r="I175" s="8">
        <v>123268</v>
      </c>
      <c r="J175" s="8">
        <v>114768</v>
      </c>
      <c r="K175" s="8"/>
      <c r="L175" s="8"/>
      <c r="M175" s="8"/>
      <c r="N175" s="8"/>
      <c r="O175" s="8"/>
    </row>
    <row r="176" spans="1:16" ht="16.5" thickBot="1" x14ac:dyDescent="0.3">
      <c r="B176" s="6" t="s">
        <v>115</v>
      </c>
      <c r="F176" s="9">
        <v>179834</v>
      </c>
      <c r="G176" s="9">
        <v>77173</v>
      </c>
      <c r="H176" s="9">
        <v>73533</v>
      </c>
      <c r="I176" s="9">
        <v>26950</v>
      </c>
      <c r="J176" s="9">
        <v>21290</v>
      </c>
      <c r="K176" s="9"/>
      <c r="L176" s="9"/>
      <c r="M176" s="9"/>
      <c r="N176" s="9"/>
      <c r="O176" s="9"/>
    </row>
    <row r="177" spans="2:15" x14ac:dyDescent="0.25">
      <c r="B177" s="10" t="s">
        <v>116</v>
      </c>
      <c r="F177" s="11">
        <f t="shared" ref="F177:O177" si="47">SUM(F174:F176)</f>
        <v>456255</v>
      </c>
      <c r="G177" s="11">
        <f t="shared" si="47"/>
        <v>481333</v>
      </c>
      <c r="H177" s="11">
        <f t="shared" si="47"/>
        <v>458973</v>
      </c>
      <c r="I177" s="11">
        <f t="shared" si="47"/>
        <v>475967</v>
      </c>
      <c r="J177" s="11">
        <f t="shared" si="47"/>
        <v>722405</v>
      </c>
      <c r="K177" s="11">
        <f t="shared" si="47"/>
        <v>0</v>
      </c>
      <c r="L177" s="11">
        <f t="shared" si="47"/>
        <v>0</v>
      </c>
      <c r="M177" s="11">
        <f t="shared" si="47"/>
        <v>0</v>
      </c>
      <c r="N177" s="11">
        <f t="shared" si="47"/>
        <v>0</v>
      </c>
      <c r="O177" s="11">
        <f t="shared" si="47"/>
        <v>0</v>
      </c>
    </row>
    <row r="178" spans="2:15" x14ac:dyDescent="0.25">
      <c r="B178" s="2" t="s">
        <v>129</v>
      </c>
      <c r="F178" s="11"/>
      <c r="G178" s="21">
        <f>(G177-F177)/F177</f>
        <v>5.496487709723729E-2</v>
      </c>
      <c r="H178" s="21">
        <f t="shared" ref="H178:O178" si="48">(H177-G177)/G177</f>
        <v>-4.6454325799394597E-2</v>
      </c>
      <c r="I178" s="21">
        <f t="shared" si="48"/>
        <v>3.7026143150032789E-2</v>
      </c>
      <c r="J178" s="21">
        <f t="shared" si="48"/>
        <v>0.51776278607550519</v>
      </c>
      <c r="K178" s="21">
        <f t="shared" si="48"/>
        <v>-1</v>
      </c>
      <c r="L178" s="21" t="e">
        <f t="shared" si="48"/>
        <v>#DIV/0!</v>
      </c>
      <c r="M178" s="21" t="e">
        <f t="shared" si="48"/>
        <v>#DIV/0!</v>
      </c>
      <c r="N178" s="21" t="e">
        <f t="shared" si="48"/>
        <v>#DIV/0!</v>
      </c>
      <c r="O178" s="21" t="e">
        <f t="shared" si="48"/>
        <v>#DIV/0!</v>
      </c>
    </row>
    <row r="180" spans="2:15" x14ac:dyDescent="0.25">
      <c r="B180" s="10" t="s">
        <v>125</v>
      </c>
    </row>
    <row r="181" spans="2:15" x14ac:dyDescent="0.25">
      <c r="B181" s="6" t="s">
        <v>113</v>
      </c>
      <c r="F181" s="19">
        <f>F174/F177</f>
        <v>0.26987539862576848</v>
      </c>
      <c r="G181" s="19">
        <f t="shared" ref="G181:O181" si="49">G174/G177</f>
        <v>0.37290399785595418</v>
      </c>
      <c r="H181" s="19">
        <f t="shared" si="49"/>
        <v>0.49045586559557969</v>
      </c>
      <c r="I181" s="19">
        <f t="shared" si="49"/>
        <v>0.68439408614462771</v>
      </c>
      <c r="J181" s="19">
        <f t="shared" si="49"/>
        <v>0.81165966459257621</v>
      </c>
      <c r="K181" s="19" t="e">
        <f t="shared" si="49"/>
        <v>#DIV/0!</v>
      </c>
      <c r="L181" s="19" t="e">
        <f t="shared" si="49"/>
        <v>#DIV/0!</v>
      </c>
      <c r="M181" s="19" t="e">
        <f t="shared" si="49"/>
        <v>#DIV/0!</v>
      </c>
      <c r="N181" s="19" t="e">
        <f t="shared" si="49"/>
        <v>#DIV/0!</v>
      </c>
      <c r="O181" s="19" t="e">
        <f t="shared" si="49"/>
        <v>#DIV/0!</v>
      </c>
    </row>
    <row r="182" spans="2:15" x14ac:dyDescent="0.25">
      <c r="B182" s="6" t="s">
        <v>114</v>
      </c>
      <c r="F182" s="19">
        <f>F175/F177</f>
        <v>0.33597220852374221</v>
      </c>
      <c r="G182" s="19">
        <f t="shared" ref="G182:O182" si="50">G175/G177</f>
        <v>0.46676417365940004</v>
      </c>
      <c r="H182" s="19">
        <f t="shared" si="50"/>
        <v>0.34933209578776964</v>
      </c>
      <c r="I182" s="19">
        <f t="shared" si="50"/>
        <v>0.2589843413513962</v>
      </c>
      <c r="J182" s="19">
        <f t="shared" si="50"/>
        <v>0.15886933229974876</v>
      </c>
      <c r="K182" s="19" t="e">
        <f t="shared" si="50"/>
        <v>#DIV/0!</v>
      </c>
      <c r="L182" s="19" t="e">
        <f t="shared" si="50"/>
        <v>#DIV/0!</v>
      </c>
      <c r="M182" s="19" t="e">
        <f t="shared" si="50"/>
        <v>#DIV/0!</v>
      </c>
      <c r="N182" s="19" t="e">
        <f t="shared" si="50"/>
        <v>#DIV/0!</v>
      </c>
      <c r="O182" s="19" t="e">
        <f t="shared" si="50"/>
        <v>#DIV/0!</v>
      </c>
    </row>
    <row r="183" spans="2:15" x14ac:dyDescent="0.25">
      <c r="B183" s="6" t="s">
        <v>115</v>
      </c>
      <c r="F183" s="20">
        <f>F176/F177</f>
        <v>0.39415239285048931</v>
      </c>
      <c r="G183" s="20">
        <f t="shared" ref="G183:O183" si="51">G176/G177</f>
        <v>0.16033182848464578</v>
      </c>
      <c r="H183" s="20">
        <f t="shared" si="51"/>
        <v>0.16021203861665065</v>
      </c>
      <c r="I183" s="20">
        <f t="shared" si="51"/>
        <v>5.6621572503976113E-2</v>
      </c>
      <c r="J183" s="20">
        <f t="shared" si="51"/>
        <v>2.9471003107675059E-2</v>
      </c>
      <c r="K183" s="20" t="e">
        <f t="shared" si="51"/>
        <v>#DIV/0!</v>
      </c>
      <c r="L183" s="20" t="e">
        <f t="shared" si="51"/>
        <v>#DIV/0!</v>
      </c>
      <c r="M183" s="20" t="e">
        <f t="shared" si="51"/>
        <v>#DIV/0!</v>
      </c>
      <c r="N183" s="20" t="e">
        <f t="shared" si="51"/>
        <v>#DIV/0!</v>
      </c>
      <c r="O183" s="20" t="e">
        <f t="shared" si="51"/>
        <v>#DIV/0!</v>
      </c>
    </row>
    <row r="184" spans="2:15" x14ac:dyDescent="0.25">
      <c r="B184" s="6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2:15" x14ac:dyDescent="0.25">
      <c r="B185" s="10" t="s">
        <v>127</v>
      </c>
    </row>
    <row r="186" spans="2:15" x14ac:dyDescent="0.25">
      <c r="B186" s="6" t="s">
        <v>113</v>
      </c>
      <c r="F186" s="17"/>
      <c r="G186" s="19">
        <f>(G174-F174)/F174</f>
        <v>0.45771204885813599</v>
      </c>
      <c r="H186" s="19">
        <f t="shared" ref="H186:O186" si="52">(H174-G174)/G174</f>
        <v>0.25413530483422569</v>
      </c>
      <c r="I186" s="19">
        <f t="shared" si="52"/>
        <v>0.44709159240535568</v>
      </c>
      <c r="J186" s="19">
        <f t="shared" si="52"/>
        <v>0.79999631618209111</v>
      </c>
      <c r="K186" s="19">
        <f t="shared" si="52"/>
        <v>-1</v>
      </c>
      <c r="L186" s="19" t="e">
        <f t="shared" si="52"/>
        <v>#DIV/0!</v>
      </c>
      <c r="M186" s="19" t="e">
        <f t="shared" si="52"/>
        <v>#DIV/0!</v>
      </c>
      <c r="N186" s="19" t="e">
        <f t="shared" si="52"/>
        <v>#DIV/0!</v>
      </c>
      <c r="O186" s="19" t="e">
        <f t="shared" si="52"/>
        <v>#DIV/0!</v>
      </c>
    </row>
    <row r="187" spans="2:15" x14ac:dyDescent="0.25">
      <c r="B187" s="6" t="s">
        <v>114</v>
      </c>
      <c r="F187" s="17"/>
      <c r="G187" s="19">
        <f>(G175-F175)/F175</f>
        <v>0.46565637456047076</v>
      </c>
      <c r="H187" s="19">
        <f t="shared" ref="H187:O188" si="53">(H175-G175)/G175</f>
        <v>-0.28635459275645503</v>
      </c>
      <c r="I187" s="19">
        <f t="shared" si="53"/>
        <v>-0.23117991193383811</v>
      </c>
      <c r="J187" s="19">
        <f t="shared" si="53"/>
        <v>-6.8955446669046308E-2</v>
      </c>
      <c r="K187" s="19">
        <f t="shared" si="53"/>
        <v>-1</v>
      </c>
      <c r="L187" s="19" t="e">
        <f t="shared" si="53"/>
        <v>#DIV/0!</v>
      </c>
      <c r="M187" s="19" t="e">
        <f t="shared" si="53"/>
        <v>#DIV/0!</v>
      </c>
      <c r="N187" s="19" t="e">
        <f t="shared" si="53"/>
        <v>#DIV/0!</v>
      </c>
      <c r="O187" s="19" t="e">
        <f t="shared" si="53"/>
        <v>#DIV/0!</v>
      </c>
    </row>
    <row r="188" spans="2:15" x14ac:dyDescent="0.25">
      <c r="B188" s="6" t="s">
        <v>115</v>
      </c>
      <c r="F188" s="18"/>
      <c r="G188" s="19">
        <f>(G176-F176)/F176</f>
        <v>-0.57086535360387913</v>
      </c>
      <c r="H188" s="19">
        <f t="shared" si="53"/>
        <v>-4.7166755212315191E-2</v>
      </c>
      <c r="I188" s="19">
        <f t="shared" si="53"/>
        <v>-0.63349788530319717</v>
      </c>
      <c r="J188" s="19">
        <f t="shared" si="53"/>
        <v>-0.21001855287569574</v>
      </c>
      <c r="K188" s="19">
        <f t="shared" si="53"/>
        <v>-1</v>
      </c>
      <c r="L188" s="19" t="e">
        <f t="shared" si="53"/>
        <v>#DIV/0!</v>
      </c>
      <c r="M188" s="19" t="e">
        <f t="shared" si="53"/>
        <v>#DIV/0!</v>
      </c>
      <c r="N188" s="19" t="e">
        <f t="shared" si="53"/>
        <v>#DIV/0!</v>
      </c>
      <c r="O188" s="19" t="e">
        <f t="shared" si="53"/>
        <v>#DIV/0!</v>
      </c>
    </row>
    <row r="189" spans="2:15" x14ac:dyDescent="0.25">
      <c r="B189" s="6"/>
      <c r="F189" s="18"/>
      <c r="G189" s="19"/>
      <c r="H189" s="19"/>
      <c r="I189" s="19"/>
      <c r="J189" s="19"/>
      <c r="K189" s="19"/>
      <c r="L189" s="19"/>
      <c r="M189" s="19"/>
      <c r="N189" s="19"/>
      <c r="O189" s="19"/>
    </row>
    <row r="190" spans="2:15" x14ac:dyDescent="0.25">
      <c r="B190" s="10" t="s">
        <v>130</v>
      </c>
    </row>
    <row r="191" spans="2:15" x14ac:dyDescent="0.25">
      <c r="B191" s="6" t="s">
        <v>113</v>
      </c>
      <c r="F191" s="17"/>
      <c r="G191" s="22">
        <f>G174-F174</f>
        <v>56359</v>
      </c>
      <c r="H191" s="22">
        <f t="shared" ref="H191:O191" si="54">H174-G174</f>
        <v>45615</v>
      </c>
      <c r="I191" s="22">
        <f t="shared" si="54"/>
        <v>100643</v>
      </c>
      <c r="J191" s="22">
        <f t="shared" si="54"/>
        <v>260598</v>
      </c>
      <c r="K191" s="22">
        <f t="shared" si="54"/>
        <v>-586347</v>
      </c>
      <c r="L191" s="22">
        <f t="shared" si="54"/>
        <v>0</v>
      </c>
      <c r="M191" s="22">
        <f t="shared" si="54"/>
        <v>0</v>
      </c>
      <c r="N191" s="22">
        <f t="shared" si="54"/>
        <v>0</v>
      </c>
      <c r="O191" s="22">
        <f t="shared" si="54"/>
        <v>0</v>
      </c>
    </row>
    <row r="192" spans="2:15" x14ac:dyDescent="0.25">
      <c r="B192" s="6" t="s">
        <v>114</v>
      </c>
      <c r="F192" s="17"/>
      <c r="G192" s="22">
        <f t="shared" ref="G192:O193" si="55">G175-F175</f>
        <v>71380</v>
      </c>
      <c r="H192" s="22">
        <f t="shared" si="55"/>
        <v>-64335</v>
      </c>
      <c r="I192" s="22">
        <f t="shared" si="55"/>
        <v>-37066</v>
      </c>
      <c r="J192" s="22">
        <f t="shared" si="55"/>
        <v>-8500</v>
      </c>
      <c r="K192" s="22">
        <f t="shared" si="55"/>
        <v>-114768</v>
      </c>
      <c r="L192" s="22">
        <f t="shared" si="55"/>
        <v>0</v>
      </c>
      <c r="M192" s="22">
        <f t="shared" si="55"/>
        <v>0</v>
      </c>
      <c r="N192" s="22">
        <f t="shared" si="55"/>
        <v>0</v>
      </c>
      <c r="O192" s="22">
        <f t="shared" si="55"/>
        <v>0</v>
      </c>
    </row>
    <row r="193" spans="2:15" ht="16.5" thickBot="1" x14ac:dyDescent="0.3">
      <c r="B193" s="6" t="s">
        <v>115</v>
      </c>
      <c r="F193" s="18"/>
      <c r="G193" s="22">
        <f t="shared" si="55"/>
        <v>-102661</v>
      </c>
      <c r="H193" s="22">
        <f t="shared" si="55"/>
        <v>-3640</v>
      </c>
      <c r="I193" s="22">
        <f t="shared" si="55"/>
        <v>-46583</v>
      </c>
      <c r="J193" s="22">
        <f t="shared" si="55"/>
        <v>-5660</v>
      </c>
      <c r="K193" s="22">
        <f t="shared" si="55"/>
        <v>-21290</v>
      </c>
      <c r="L193" s="22">
        <f t="shared" si="55"/>
        <v>0</v>
      </c>
      <c r="M193" s="22">
        <f t="shared" si="55"/>
        <v>0</v>
      </c>
      <c r="N193" s="22">
        <f t="shared" si="55"/>
        <v>0</v>
      </c>
      <c r="O193" s="22">
        <f t="shared" si="55"/>
        <v>0</v>
      </c>
    </row>
    <row r="194" spans="2:15" x14ac:dyDescent="0.25">
      <c r="B194" s="23" t="s">
        <v>131</v>
      </c>
      <c r="F194" s="18"/>
      <c r="G194" s="15">
        <f>SUM(G191:G193)</f>
        <v>25078</v>
      </c>
      <c r="H194" s="15">
        <f t="shared" ref="H194:O194" si="56">SUM(H191:H193)</f>
        <v>-22360</v>
      </c>
      <c r="I194" s="15">
        <f t="shared" si="56"/>
        <v>16994</v>
      </c>
      <c r="J194" s="15">
        <f t="shared" si="56"/>
        <v>246438</v>
      </c>
      <c r="K194" s="15">
        <f t="shared" si="56"/>
        <v>-722405</v>
      </c>
      <c r="L194" s="15">
        <f t="shared" si="56"/>
        <v>0</v>
      </c>
      <c r="M194" s="15">
        <f t="shared" si="56"/>
        <v>0</v>
      </c>
      <c r="N194" s="15">
        <f t="shared" si="56"/>
        <v>0</v>
      </c>
      <c r="O194" s="15">
        <f t="shared" si="56"/>
        <v>0</v>
      </c>
    </row>
    <row r="195" spans="2:15" x14ac:dyDescent="0.25">
      <c r="B195" s="6"/>
      <c r="F195" s="18"/>
      <c r="G195" s="19"/>
      <c r="H195" s="19"/>
      <c r="I195" s="19"/>
      <c r="J195" s="19"/>
      <c r="K195" s="19"/>
      <c r="L195" s="19"/>
      <c r="M195" s="19"/>
      <c r="N195" s="19"/>
      <c r="O195" s="19"/>
    </row>
    <row r="196" spans="2:15" x14ac:dyDescent="0.25">
      <c r="B196" s="10" t="s">
        <v>130</v>
      </c>
    </row>
    <row r="197" spans="2:15" x14ac:dyDescent="0.25">
      <c r="B197" s="6" t="s">
        <v>113</v>
      </c>
      <c r="F197" s="17"/>
      <c r="G197" s="19">
        <f>(G174-F174)/(G$177-F$177)</f>
        <v>2.2473482733870322</v>
      </c>
      <c r="H197" s="19">
        <f t="shared" ref="H197:O197" si="57">(H174-G174)/(H$177-G$177)</f>
        <v>-2.0400268336314848</v>
      </c>
      <c r="I197" s="19">
        <f t="shared" si="57"/>
        <v>5.9222666823584795</v>
      </c>
      <c r="J197" s="19">
        <f t="shared" si="57"/>
        <v>1.0574586711464953</v>
      </c>
      <c r="K197" s="19">
        <f t="shared" si="57"/>
        <v>0.81165966459257621</v>
      </c>
      <c r="L197" s="19" t="e">
        <f t="shared" si="57"/>
        <v>#DIV/0!</v>
      </c>
      <c r="M197" s="19" t="e">
        <f t="shared" si="57"/>
        <v>#DIV/0!</v>
      </c>
      <c r="N197" s="19" t="e">
        <f t="shared" si="57"/>
        <v>#DIV/0!</v>
      </c>
      <c r="O197" s="19" t="e">
        <f t="shared" si="57"/>
        <v>#DIV/0!</v>
      </c>
    </row>
    <row r="198" spans="2:15" x14ac:dyDescent="0.25">
      <c r="B198" s="6" t="s">
        <v>114</v>
      </c>
      <c r="F198" s="17"/>
      <c r="G198" s="19">
        <f t="shared" ref="G198:O199" si="58">(G175-F175)/(G$177-F$177)</f>
        <v>2.8463194832123775</v>
      </c>
      <c r="H198" s="19">
        <f t="shared" si="58"/>
        <v>2.8772361359570664</v>
      </c>
      <c r="I198" s="19">
        <f t="shared" si="58"/>
        <v>-2.1811227492056018</v>
      </c>
      <c r="J198" s="19">
        <f t="shared" si="58"/>
        <v>-3.449143395093289E-2</v>
      </c>
      <c r="K198" s="19">
        <f t="shared" si="58"/>
        <v>0.15886933229974876</v>
      </c>
      <c r="L198" s="19" t="e">
        <f t="shared" si="58"/>
        <v>#DIV/0!</v>
      </c>
      <c r="M198" s="19" t="e">
        <f t="shared" si="58"/>
        <v>#DIV/0!</v>
      </c>
      <c r="N198" s="19" t="e">
        <f t="shared" si="58"/>
        <v>#DIV/0!</v>
      </c>
      <c r="O198" s="19" t="e">
        <f t="shared" si="58"/>
        <v>#DIV/0!</v>
      </c>
    </row>
    <row r="199" spans="2:15" x14ac:dyDescent="0.25">
      <c r="B199" s="6" t="s">
        <v>115</v>
      </c>
      <c r="F199" s="18"/>
      <c r="G199" s="19">
        <f t="shared" si="58"/>
        <v>-4.0936677565994097</v>
      </c>
      <c r="H199" s="19">
        <f t="shared" si="58"/>
        <v>0.16279069767441862</v>
      </c>
      <c r="I199" s="19">
        <f t="shared" si="58"/>
        <v>-2.7411439331528773</v>
      </c>
      <c r="J199" s="19">
        <f t="shared" si="58"/>
        <v>-2.2967237195562373E-2</v>
      </c>
      <c r="K199" s="19">
        <f t="shared" si="58"/>
        <v>2.9471003107675059E-2</v>
      </c>
      <c r="L199" s="19" t="e">
        <f t="shared" si="58"/>
        <v>#DIV/0!</v>
      </c>
      <c r="M199" s="19" t="e">
        <f t="shared" si="58"/>
        <v>#DIV/0!</v>
      </c>
      <c r="N199" s="19" t="e">
        <f t="shared" si="58"/>
        <v>#DIV/0!</v>
      </c>
      <c r="O199" s="19" t="e">
        <f t="shared" si="58"/>
        <v>#DIV/0!</v>
      </c>
    </row>
    <row r="200" spans="2:15" x14ac:dyDescent="0.25">
      <c r="B200" s="6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2:15" x14ac:dyDescent="0.25">
      <c r="B201" s="6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2:15" ht="16.5" thickBot="1" x14ac:dyDescent="0.3">
      <c r="B202" s="6"/>
      <c r="F202" s="24">
        <v>2021</v>
      </c>
      <c r="G202" s="24">
        <f>F202+1</f>
        <v>2022</v>
      </c>
      <c r="H202" s="24">
        <f t="shared" ref="H202:J202" si="59">G202+1</f>
        <v>2023</v>
      </c>
      <c r="I202" s="24">
        <f t="shared" si="59"/>
        <v>2024</v>
      </c>
      <c r="J202" s="24">
        <f t="shared" si="59"/>
        <v>2025</v>
      </c>
      <c r="K202" s="25">
        <v>2026</v>
      </c>
      <c r="L202" s="25">
        <f>K202+1</f>
        <v>2027</v>
      </c>
      <c r="M202" s="25">
        <f t="shared" ref="M202:O202" si="60">L202+1</f>
        <v>2028</v>
      </c>
      <c r="N202" s="25">
        <f t="shared" si="60"/>
        <v>2029</v>
      </c>
      <c r="O202" s="25">
        <f t="shared" si="60"/>
        <v>2030</v>
      </c>
    </row>
    <row r="203" spans="2:15" x14ac:dyDescent="0.25">
      <c r="B203" s="6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spans="2:15" x14ac:dyDescent="0.25">
      <c r="B204" s="10" t="s">
        <v>124</v>
      </c>
    </row>
    <row r="205" spans="2:15" x14ac:dyDescent="0.25">
      <c r="B205" s="6" t="s">
        <v>119</v>
      </c>
      <c r="F205" s="8">
        <v>406077</v>
      </c>
      <c r="G205" s="8">
        <v>349488</v>
      </c>
      <c r="H205" s="8">
        <v>378886</v>
      </c>
      <c r="I205" s="8">
        <v>419706</v>
      </c>
      <c r="J205" s="8">
        <v>675194</v>
      </c>
      <c r="K205" s="8"/>
      <c r="L205" s="8"/>
      <c r="M205" s="8"/>
      <c r="N205" s="8"/>
      <c r="O205" s="8"/>
    </row>
    <row r="206" spans="2:15" x14ac:dyDescent="0.25">
      <c r="B206" s="6" t="s">
        <v>120</v>
      </c>
      <c r="F206" s="8">
        <v>8616</v>
      </c>
      <c r="G206" s="8">
        <v>16437</v>
      </c>
      <c r="H206" s="8">
        <v>21265</v>
      </c>
      <c r="I206" s="8">
        <v>24466</v>
      </c>
      <c r="J206" s="8">
        <v>21270</v>
      </c>
      <c r="K206" s="8"/>
      <c r="L206" s="8"/>
      <c r="M206" s="8"/>
      <c r="N206" s="8"/>
      <c r="O206" s="8"/>
    </row>
    <row r="207" spans="2:15" x14ac:dyDescent="0.25">
      <c r="B207" s="6" t="s">
        <v>121</v>
      </c>
      <c r="F207" s="8">
        <v>25457</v>
      </c>
      <c r="G207" s="8">
        <v>80681</v>
      </c>
      <c r="H207" s="8">
        <v>39822</v>
      </c>
      <c r="I207" s="8">
        <v>24652</v>
      </c>
      <c r="J207" s="8">
        <v>22309</v>
      </c>
      <c r="K207" s="8"/>
      <c r="L207" s="8"/>
      <c r="M207" s="8"/>
      <c r="N207" s="8"/>
      <c r="O207" s="8"/>
    </row>
    <row r="208" spans="2:15" x14ac:dyDescent="0.25">
      <c r="B208" s="6" t="s">
        <v>122</v>
      </c>
      <c r="F208" s="8">
        <v>7457</v>
      </c>
      <c r="G208" s="8">
        <v>18452</v>
      </c>
      <c r="H208" s="8">
        <v>13815</v>
      </c>
      <c r="I208" s="8">
        <v>7090</v>
      </c>
      <c r="J208" s="8">
        <v>3373</v>
      </c>
      <c r="K208" s="8"/>
      <c r="L208" s="8"/>
      <c r="M208" s="8"/>
      <c r="N208" s="8"/>
      <c r="O208" s="8"/>
    </row>
    <row r="209" spans="2:15" ht="16.5" thickBot="1" x14ac:dyDescent="0.3">
      <c r="B209" s="6" t="s">
        <v>123</v>
      </c>
      <c r="F209" s="9">
        <v>8648</v>
      </c>
      <c r="G209" s="9">
        <v>16275</v>
      </c>
      <c r="H209" s="9">
        <v>5185</v>
      </c>
      <c r="I209" s="9">
        <v>53</v>
      </c>
      <c r="J209" s="9">
        <v>259</v>
      </c>
      <c r="K209" s="9"/>
      <c r="L209" s="9"/>
      <c r="M209" s="9"/>
      <c r="N209" s="9"/>
      <c r="O209" s="9"/>
    </row>
    <row r="210" spans="2:15" x14ac:dyDescent="0.25">
      <c r="B210" s="10" t="s">
        <v>116</v>
      </c>
      <c r="F210" s="11">
        <f>SUM(F205:F209)</f>
        <v>456255</v>
      </c>
      <c r="G210" s="11">
        <f t="shared" ref="G210:O210" si="61">SUM(G205:G209)</f>
        <v>481333</v>
      </c>
      <c r="H210" s="11">
        <f t="shared" si="61"/>
        <v>458973</v>
      </c>
      <c r="I210" s="11">
        <f t="shared" si="61"/>
        <v>475967</v>
      </c>
      <c r="J210" s="11">
        <f t="shared" si="61"/>
        <v>722405</v>
      </c>
      <c r="K210" s="11">
        <f t="shared" si="61"/>
        <v>0</v>
      </c>
      <c r="L210" s="11">
        <f t="shared" si="61"/>
        <v>0</v>
      </c>
      <c r="M210" s="11">
        <f t="shared" si="61"/>
        <v>0</v>
      </c>
      <c r="N210" s="11">
        <f t="shared" si="61"/>
        <v>0</v>
      </c>
      <c r="O210" s="11">
        <f t="shared" si="61"/>
        <v>0</v>
      </c>
    </row>
    <row r="212" spans="2:15" x14ac:dyDescent="0.25">
      <c r="B212" s="10" t="s">
        <v>126</v>
      </c>
    </row>
    <row r="213" spans="2:15" x14ac:dyDescent="0.25">
      <c r="B213" s="6" t="s">
        <v>119</v>
      </c>
      <c r="F213" s="19">
        <f>F205/F$210</f>
        <v>0.89002202715586676</v>
      </c>
      <c r="G213" s="19">
        <f t="shared" ref="G213:O213" si="62">G205/G$210</f>
        <v>0.72608360532105631</v>
      </c>
      <c r="H213" s="19">
        <f t="shared" si="62"/>
        <v>0.82550825429818309</v>
      </c>
      <c r="I213" s="19">
        <f t="shared" si="62"/>
        <v>0.88179642706322081</v>
      </c>
      <c r="J213" s="19">
        <f t="shared" si="62"/>
        <v>0.93464746229608042</v>
      </c>
      <c r="K213" s="19" t="e">
        <f t="shared" si="62"/>
        <v>#DIV/0!</v>
      </c>
      <c r="L213" s="19" t="e">
        <f t="shared" si="62"/>
        <v>#DIV/0!</v>
      </c>
      <c r="M213" s="19" t="e">
        <f t="shared" si="62"/>
        <v>#DIV/0!</v>
      </c>
      <c r="N213" s="19" t="e">
        <f t="shared" si="62"/>
        <v>#DIV/0!</v>
      </c>
      <c r="O213" s="19" t="e">
        <f t="shared" si="62"/>
        <v>#DIV/0!</v>
      </c>
    </row>
    <row r="214" spans="2:15" x14ac:dyDescent="0.25">
      <c r="B214" s="6" t="s">
        <v>120</v>
      </c>
      <c r="F214" s="19">
        <f t="shared" ref="F214:O214" si="63">F206/F$210</f>
        <v>1.888417661176316E-2</v>
      </c>
      <c r="G214" s="19">
        <f t="shared" si="63"/>
        <v>3.414891561559253E-2</v>
      </c>
      <c r="H214" s="19">
        <f t="shared" si="63"/>
        <v>4.6331701429060096E-2</v>
      </c>
      <c r="I214" s="19">
        <f t="shared" si="63"/>
        <v>5.1402723298043775E-2</v>
      </c>
      <c r="J214" s="19">
        <f t="shared" si="63"/>
        <v>2.9443317806493587E-2</v>
      </c>
      <c r="K214" s="19" t="e">
        <f t="shared" si="63"/>
        <v>#DIV/0!</v>
      </c>
      <c r="L214" s="19" t="e">
        <f t="shared" si="63"/>
        <v>#DIV/0!</v>
      </c>
      <c r="M214" s="19" t="e">
        <f t="shared" si="63"/>
        <v>#DIV/0!</v>
      </c>
      <c r="N214" s="19" t="e">
        <f t="shared" si="63"/>
        <v>#DIV/0!</v>
      </c>
      <c r="O214" s="19" t="e">
        <f t="shared" si="63"/>
        <v>#DIV/0!</v>
      </c>
    </row>
    <row r="215" spans="2:15" x14ac:dyDescent="0.25">
      <c r="B215" s="6" t="s">
        <v>121</v>
      </c>
      <c r="F215" s="19">
        <f t="shared" ref="F215:O215" si="64">F207/F$210</f>
        <v>5.5795552925447391E-2</v>
      </c>
      <c r="G215" s="19">
        <f t="shared" si="64"/>
        <v>0.16761992217446134</v>
      </c>
      <c r="H215" s="19">
        <f t="shared" si="64"/>
        <v>8.6763273656620329E-2</v>
      </c>
      <c r="I215" s="19">
        <f t="shared" si="64"/>
        <v>5.179350669269088E-2</v>
      </c>
      <c r="J215" s="19">
        <f t="shared" si="64"/>
        <v>3.0881569202870964E-2</v>
      </c>
      <c r="K215" s="19" t="e">
        <f t="shared" si="64"/>
        <v>#DIV/0!</v>
      </c>
      <c r="L215" s="19" t="e">
        <f t="shared" si="64"/>
        <v>#DIV/0!</v>
      </c>
      <c r="M215" s="19" t="e">
        <f t="shared" si="64"/>
        <v>#DIV/0!</v>
      </c>
      <c r="N215" s="19" t="e">
        <f t="shared" si="64"/>
        <v>#DIV/0!</v>
      </c>
      <c r="O215" s="19" t="e">
        <f t="shared" si="64"/>
        <v>#DIV/0!</v>
      </c>
    </row>
    <row r="216" spans="2:15" x14ac:dyDescent="0.25">
      <c r="B216" s="6" t="s">
        <v>122</v>
      </c>
      <c r="F216" s="19">
        <f t="shared" ref="F216:O216" si="65">F208/F$210</f>
        <v>1.6343930477474219E-2</v>
      </c>
      <c r="G216" s="19">
        <f t="shared" si="65"/>
        <v>3.8335206603328675E-2</v>
      </c>
      <c r="H216" s="19">
        <f t="shared" si="65"/>
        <v>3.0099809792732905E-2</v>
      </c>
      <c r="I216" s="19">
        <f t="shared" si="65"/>
        <v>1.489599068843008E-2</v>
      </c>
      <c r="J216" s="19">
        <f t="shared" si="65"/>
        <v>4.6691260442549539E-3</v>
      </c>
      <c r="K216" s="19" t="e">
        <f t="shared" si="65"/>
        <v>#DIV/0!</v>
      </c>
      <c r="L216" s="19" t="e">
        <f t="shared" si="65"/>
        <v>#DIV/0!</v>
      </c>
      <c r="M216" s="19" t="e">
        <f t="shared" si="65"/>
        <v>#DIV/0!</v>
      </c>
      <c r="N216" s="19" t="e">
        <f t="shared" si="65"/>
        <v>#DIV/0!</v>
      </c>
      <c r="O216" s="19" t="e">
        <f t="shared" si="65"/>
        <v>#DIV/0!</v>
      </c>
    </row>
    <row r="217" spans="2:15" x14ac:dyDescent="0.25">
      <c r="B217" s="6" t="s">
        <v>123</v>
      </c>
      <c r="F217" s="19">
        <f t="shared" ref="F217:O217" si="66">F209/F$210</f>
        <v>1.8954312829448445E-2</v>
      </c>
      <c r="G217" s="19">
        <f t="shared" si="66"/>
        <v>3.3812350285561142E-2</v>
      </c>
      <c r="H217" s="19">
        <f t="shared" si="66"/>
        <v>1.1296960823403555E-2</v>
      </c>
      <c r="I217" s="19">
        <f t="shared" si="66"/>
        <v>1.1135225761449849E-4</v>
      </c>
      <c r="J217" s="19">
        <f t="shared" si="66"/>
        <v>3.5852465030003944E-4</v>
      </c>
      <c r="K217" s="19" t="e">
        <f t="shared" si="66"/>
        <v>#DIV/0!</v>
      </c>
      <c r="L217" s="19" t="e">
        <f t="shared" si="66"/>
        <v>#DIV/0!</v>
      </c>
      <c r="M217" s="19" t="e">
        <f t="shared" si="66"/>
        <v>#DIV/0!</v>
      </c>
      <c r="N217" s="19" t="e">
        <f t="shared" si="66"/>
        <v>#DIV/0!</v>
      </c>
      <c r="O217" s="19" t="e">
        <f t="shared" si="66"/>
        <v>#DIV/0!</v>
      </c>
    </row>
    <row r="219" spans="2:15" x14ac:dyDescent="0.25">
      <c r="B219" s="10" t="s">
        <v>128</v>
      </c>
    </row>
    <row r="220" spans="2:15" x14ac:dyDescent="0.25">
      <c r="B220" s="6" t="s">
        <v>119</v>
      </c>
      <c r="F220" s="17"/>
      <c r="G220" s="19">
        <f>(G205-F205)/F205</f>
        <v>-0.13935534393723359</v>
      </c>
      <c r="H220" s="19">
        <f t="shared" ref="H220:O220" si="67">(H205-G205)/G205</f>
        <v>8.411733736208396E-2</v>
      </c>
      <c r="I220" s="19">
        <f t="shared" si="67"/>
        <v>0.10773689183553892</v>
      </c>
      <c r="J220" s="19">
        <f t="shared" si="67"/>
        <v>0.60873087351622324</v>
      </c>
      <c r="K220" s="19">
        <f t="shared" si="67"/>
        <v>-1</v>
      </c>
      <c r="L220" s="19" t="e">
        <f t="shared" si="67"/>
        <v>#DIV/0!</v>
      </c>
      <c r="M220" s="19" t="e">
        <f t="shared" si="67"/>
        <v>#DIV/0!</v>
      </c>
      <c r="N220" s="19" t="e">
        <f t="shared" si="67"/>
        <v>#DIV/0!</v>
      </c>
      <c r="O220" s="19" t="e">
        <f t="shared" si="67"/>
        <v>#DIV/0!</v>
      </c>
    </row>
    <row r="221" spans="2:15" x14ac:dyDescent="0.25">
      <c r="B221" s="6" t="s">
        <v>120</v>
      </c>
      <c r="F221" s="17"/>
      <c r="G221" s="19">
        <f t="shared" ref="G221:O224" si="68">(G206-F206)/F206</f>
        <v>0.90772980501392753</v>
      </c>
      <c r="H221" s="19">
        <f t="shared" si="68"/>
        <v>0.29372756585751658</v>
      </c>
      <c r="I221" s="19">
        <f t="shared" si="68"/>
        <v>0.1505290383258876</v>
      </c>
      <c r="J221" s="19">
        <f t="shared" si="68"/>
        <v>-0.13063026240497017</v>
      </c>
      <c r="K221" s="19">
        <f t="shared" si="68"/>
        <v>-1</v>
      </c>
      <c r="L221" s="19" t="e">
        <f t="shared" si="68"/>
        <v>#DIV/0!</v>
      </c>
      <c r="M221" s="19" t="e">
        <f t="shared" si="68"/>
        <v>#DIV/0!</v>
      </c>
      <c r="N221" s="19" t="e">
        <f t="shared" si="68"/>
        <v>#DIV/0!</v>
      </c>
      <c r="O221" s="19" t="e">
        <f t="shared" si="68"/>
        <v>#DIV/0!</v>
      </c>
    </row>
    <row r="222" spans="2:15" x14ac:dyDescent="0.25">
      <c r="B222" s="6" t="s">
        <v>121</v>
      </c>
      <c r="F222" s="17"/>
      <c r="G222" s="19">
        <f t="shared" si="68"/>
        <v>2.1693051027222374</v>
      </c>
      <c r="H222" s="19">
        <f t="shared" si="68"/>
        <v>-0.50642654404382692</v>
      </c>
      <c r="I222" s="19">
        <f t="shared" si="68"/>
        <v>-0.38094520616744515</v>
      </c>
      <c r="J222" s="19">
        <f t="shared" si="68"/>
        <v>-9.5042998539672241E-2</v>
      </c>
      <c r="K222" s="19">
        <f t="shared" si="68"/>
        <v>-1</v>
      </c>
      <c r="L222" s="19" t="e">
        <f t="shared" si="68"/>
        <v>#DIV/0!</v>
      </c>
      <c r="M222" s="19" t="e">
        <f t="shared" si="68"/>
        <v>#DIV/0!</v>
      </c>
      <c r="N222" s="19" t="e">
        <f t="shared" si="68"/>
        <v>#DIV/0!</v>
      </c>
      <c r="O222" s="19" t="e">
        <f t="shared" si="68"/>
        <v>#DIV/0!</v>
      </c>
    </row>
    <row r="223" spans="2:15" x14ac:dyDescent="0.25">
      <c r="B223" s="6" t="s">
        <v>122</v>
      </c>
      <c r="F223" s="17"/>
      <c r="G223" s="19">
        <f t="shared" si="68"/>
        <v>1.4744535335925975</v>
      </c>
      <c r="H223" s="19">
        <f t="shared" si="68"/>
        <v>-0.25130067201387385</v>
      </c>
      <c r="I223" s="19">
        <f t="shared" si="68"/>
        <v>-0.48678972131740861</v>
      </c>
      <c r="J223" s="19">
        <f t="shared" si="68"/>
        <v>-0.52425952045133994</v>
      </c>
      <c r="K223" s="19">
        <f t="shared" si="68"/>
        <v>-1</v>
      </c>
      <c r="L223" s="19" t="e">
        <f t="shared" si="68"/>
        <v>#DIV/0!</v>
      </c>
      <c r="M223" s="19" t="e">
        <f t="shared" si="68"/>
        <v>#DIV/0!</v>
      </c>
      <c r="N223" s="19" t="e">
        <f t="shared" si="68"/>
        <v>#DIV/0!</v>
      </c>
      <c r="O223" s="19" t="e">
        <f t="shared" si="68"/>
        <v>#DIV/0!</v>
      </c>
    </row>
    <row r="224" spans="2:15" x14ac:dyDescent="0.25">
      <c r="B224" s="6" t="s">
        <v>123</v>
      </c>
      <c r="F224" s="17"/>
      <c r="G224" s="19">
        <f t="shared" si="68"/>
        <v>0.88193802035152635</v>
      </c>
      <c r="H224" s="19">
        <f t="shared" si="68"/>
        <v>-0.68141321044546854</v>
      </c>
      <c r="I224" s="19">
        <f t="shared" si="68"/>
        <v>-0.98977820636451297</v>
      </c>
      <c r="J224" s="19">
        <f t="shared" si="68"/>
        <v>3.8867924528301887</v>
      </c>
      <c r="K224" s="19">
        <f t="shared" si="68"/>
        <v>-1</v>
      </c>
      <c r="L224" s="19" t="e">
        <f t="shared" si="68"/>
        <v>#DIV/0!</v>
      </c>
      <c r="M224" s="19" t="e">
        <f t="shared" si="68"/>
        <v>#DIV/0!</v>
      </c>
      <c r="N224" s="19" t="e">
        <f t="shared" si="68"/>
        <v>#DIV/0!</v>
      </c>
      <c r="O224" s="19" t="e">
        <f t="shared" si="68"/>
        <v>#DIV/0!</v>
      </c>
    </row>
    <row r="225" spans="2:15" x14ac:dyDescent="0.25">
      <c r="G225" s="21"/>
      <c r="H225" s="21"/>
      <c r="I225" s="21"/>
      <c r="J225" s="21"/>
      <c r="K225" s="21"/>
      <c r="L225" s="21"/>
      <c r="M225" s="21"/>
      <c r="N225" s="21"/>
      <c r="O225" s="21"/>
    </row>
    <row r="226" spans="2:15" x14ac:dyDescent="0.25">
      <c r="B226" s="10" t="s">
        <v>133</v>
      </c>
    </row>
    <row r="227" spans="2:15" x14ac:dyDescent="0.25">
      <c r="B227" s="6" t="s">
        <v>119</v>
      </c>
      <c r="F227" s="17"/>
      <c r="G227" s="22">
        <f>G205-F205</f>
        <v>-56589</v>
      </c>
      <c r="H227" s="22">
        <f t="shared" ref="H227:O227" si="69">H205-G205</f>
        <v>29398</v>
      </c>
      <c r="I227" s="22">
        <f t="shared" si="69"/>
        <v>40820</v>
      </c>
      <c r="J227" s="22">
        <f t="shared" si="69"/>
        <v>255488</v>
      </c>
      <c r="K227" s="22">
        <f t="shared" si="69"/>
        <v>-675194</v>
      </c>
      <c r="L227" s="22">
        <f t="shared" si="69"/>
        <v>0</v>
      </c>
      <c r="M227" s="22">
        <f t="shared" si="69"/>
        <v>0</v>
      </c>
      <c r="N227" s="22">
        <f t="shared" si="69"/>
        <v>0</v>
      </c>
      <c r="O227" s="22">
        <f t="shared" si="69"/>
        <v>0</v>
      </c>
    </row>
    <row r="228" spans="2:15" x14ac:dyDescent="0.25">
      <c r="B228" s="6" t="s">
        <v>120</v>
      </c>
      <c r="F228" s="17"/>
      <c r="G228" s="22">
        <f t="shared" ref="G228:O232" si="70">G206-F206</f>
        <v>7821</v>
      </c>
      <c r="H228" s="22">
        <f t="shared" si="70"/>
        <v>4828</v>
      </c>
      <c r="I228" s="22">
        <f t="shared" si="70"/>
        <v>3201</v>
      </c>
      <c r="J228" s="22">
        <f t="shared" si="70"/>
        <v>-3196</v>
      </c>
      <c r="K228" s="22">
        <f t="shared" si="70"/>
        <v>-21270</v>
      </c>
      <c r="L228" s="22">
        <f t="shared" si="70"/>
        <v>0</v>
      </c>
      <c r="M228" s="22">
        <f t="shared" si="70"/>
        <v>0</v>
      </c>
      <c r="N228" s="22">
        <f t="shared" si="70"/>
        <v>0</v>
      </c>
      <c r="O228" s="22">
        <f t="shared" si="70"/>
        <v>0</v>
      </c>
    </row>
    <row r="229" spans="2:15" x14ac:dyDescent="0.25">
      <c r="B229" s="6" t="s">
        <v>121</v>
      </c>
      <c r="F229" s="17"/>
      <c r="G229" s="22">
        <f t="shared" si="70"/>
        <v>55224</v>
      </c>
      <c r="H229" s="22">
        <f t="shared" si="70"/>
        <v>-40859</v>
      </c>
      <c r="I229" s="22">
        <f t="shared" si="70"/>
        <v>-15170</v>
      </c>
      <c r="J229" s="22">
        <f t="shared" si="70"/>
        <v>-2343</v>
      </c>
      <c r="K229" s="22">
        <f t="shared" si="70"/>
        <v>-22309</v>
      </c>
      <c r="L229" s="22">
        <f t="shared" si="70"/>
        <v>0</v>
      </c>
      <c r="M229" s="22">
        <f t="shared" si="70"/>
        <v>0</v>
      </c>
      <c r="N229" s="22">
        <f t="shared" si="70"/>
        <v>0</v>
      </c>
      <c r="O229" s="22">
        <f t="shared" si="70"/>
        <v>0</v>
      </c>
    </row>
    <row r="230" spans="2:15" x14ac:dyDescent="0.25">
      <c r="B230" s="6" t="s">
        <v>122</v>
      </c>
      <c r="F230" s="17"/>
      <c r="G230" s="22">
        <f t="shared" si="70"/>
        <v>10995</v>
      </c>
      <c r="H230" s="22">
        <f t="shared" si="70"/>
        <v>-4637</v>
      </c>
      <c r="I230" s="22">
        <f t="shared" si="70"/>
        <v>-6725</v>
      </c>
      <c r="J230" s="22">
        <f t="shared" si="70"/>
        <v>-3717</v>
      </c>
      <c r="K230" s="22">
        <f t="shared" si="70"/>
        <v>-3373</v>
      </c>
      <c r="L230" s="22">
        <f t="shared" si="70"/>
        <v>0</v>
      </c>
      <c r="M230" s="22">
        <f t="shared" si="70"/>
        <v>0</v>
      </c>
      <c r="N230" s="22">
        <f t="shared" si="70"/>
        <v>0</v>
      </c>
      <c r="O230" s="22">
        <f t="shared" si="70"/>
        <v>0</v>
      </c>
    </row>
    <row r="231" spans="2:15" ht="16.5" thickBot="1" x14ac:dyDescent="0.3">
      <c r="B231" s="6" t="s">
        <v>123</v>
      </c>
      <c r="F231" s="17"/>
      <c r="G231" s="22">
        <f t="shared" si="70"/>
        <v>7627</v>
      </c>
      <c r="H231" s="22">
        <f t="shared" si="70"/>
        <v>-11090</v>
      </c>
      <c r="I231" s="22">
        <f t="shared" si="70"/>
        <v>-5132</v>
      </c>
      <c r="J231" s="22">
        <f t="shared" si="70"/>
        <v>206</v>
      </c>
      <c r="K231" s="22">
        <f t="shared" si="70"/>
        <v>-259</v>
      </c>
      <c r="L231" s="22">
        <f t="shared" si="70"/>
        <v>0</v>
      </c>
      <c r="M231" s="22">
        <f t="shared" si="70"/>
        <v>0</v>
      </c>
      <c r="N231" s="22">
        <f t="shared" si="70"/>
        <v>0</v>
      </c>
      <c r="O231" s="22">
        <f t="shared" si="70"/>
        <v>0</v>
      </c>
    </row>
    <row r="232" spans="2:15" x14ac:dyDescent="0.25">
      <c r="B232" s="23" t="s">
        <v>132</v>
      </c>
      <c r="F232" s="17"/>
      <c r="G232" s="15">
        <f t="shared" si="70"/>
        <v>25078</v>
      </c>
      <c r="H232" s="15">
        <f t="shared" si="70"/>
        <v>-22360</v>
      </c>
      <c r="I232" s="15">
        <f t="shared" si="70"/>
        <v>16994</v>
      </c>
      <c r="J232" s="15">
        <f t="shared" si="70"/>
        <v>246438</v>
      </c>
      <c r="K232" s="15">
        <f t="shared" si="70"/>
        <v>-722405</v>
      </c>
      <c r="L232" s="15">
        <f t="shared" si="70"/>
        <v>0</v>
      </c>
      <c r="M232" s="15">
        <f t="shared" si="70"/>
        <v>0</v>
      </c>
      <c r="N232" s="15">
        <f t="shared" si="70"/>
        <v>0</v>
      </c>
      <c r="O232" s="15">
        <f t="shared" si="70"/>
        <v>0</v>
      </c>
    </row>
    <row r="234" spans="2:15" x14ac:dyDescent="0.25">
      <c r="B234" s="10" t="s">
        <v>128</v>
      </c>
    </row>
    <row r="235" spans="2:15" x14ac:dyDescent="0.25">
      <c r="B235" s="6" t="s">
        <v>119</v>
      </c>
      <c r="F235" s="17"/>
      <c r="G235" s="19">
        <f>(G205-F205)/(G$210-F$210)</f>
        <v>-2.2565196586649652</v>
      </c>
      <c r="H235" s="19">
        <f t="shared" ref="H235:O235" si="71">(H205-G205)/(H$210-G$210)</f>
        <v>-1.3147584973166369</v>
      </c>
      <c r="I235" s="19">
        <f t="shared" si="71"/>
        <v>2.4020242438507711</v>
      </c>
      <c r="J235" s="19">
        <f t="shared" si="71"/>
        <v>1.0367232326183462</v>
      </c>
      <c r="K235" s="19">
        <f t="shared" si="71"/>
        <v>0.93464746229608042</v>
      </c>
      <c r="L235" s="19" t="e">
        <f t="shared" si="71"/>
        <v>#DIV/0!</v>
      </c>
      <c r="M235" s="19" t="e">
        <f t="shared" si="71"/>
        <v>#DIV/0!</v>
      </c>
      <c r="N235" s="19" t="e">
        <f t="shared" si="71"/>
        <v>#DIV/0!</v>
      </c>
      <c r="O235" s="19" t="e">
        <f t="shared" si="71"/>
        <v>#DIV/0!</v>
      </c>
    </row>
    <row r="236" spans="2:15" x14ac:dyDescent="0.25">
      <c r="B236" s="6" t="s">
        <v>120</v>
      </c>
      <c r="F236" s="17"/>
      <c r="G236" s="19">
        <f t="shared" ref="G236:O239" si="72">(G206-F206)/(G$210-F$210)</f>
        <v>0.3118669750378818</v>
      </c>
      <c r="H236" s="19">
        <f t="shared" si="72"/>
        <v>-0.21592128801431126</v>
      </c>
      <c r="I236" s="19">
        <f t="shared" si="72"/>
        <v>0.18836059785806755</v>
      </c>
      <c r="J236" s="19">
        <f t="shared" si="72"/>
        <v>-1.2968779165550767E-2</v>
      </c>
      <c r="K236" s="19">
        <f t="shared" si="72"/>
        <v>2.9443317806493587E-2</v>
      </c>
      <c r="L236" s="19" t="e">
        <f t="shared" si="72"/>
        <v>#DIV/0!</v>
      </c>
      <c r="M236" s="19" t="e">
        <f t="shared" si="72"/>
        <v>#DIV/0!</v>
      </c>
      <c r="N236" s="19" t="e">
        <f t="shared" si="72"/>
        <v>#DIV/0!</v>
      </c>
      <c r="O236" s="19" t="e">
        <f t="shared" si="72"/>
        <v>#DIV/0!</v>
      </c>
    </row>
    <row r="237" spans="2:15" x14ac:dyDescent="0.25">
      <c r="B237" s="6" t="s">
        <v>121</v>
      </c>
      <c r="F237" s="17"/>
      <c r="G237" s="19">
        <f t="shared" si="72"/>
        <v>2.2020894808198421</v>
      </c>
      <c r="H237" s="19">
        <f t="shared" si="72"/>
        <v>1.8273255813953488</v>
      </c>
      <c r="I237" s="19">
        <f t="shared" si="72"/>
        <v>-0.89266800047075434</v>
      </c>
      <c r="J237" s="19">
        <f t="shared" si="72"/>
        <v>-9.5074623231806779E-3</v>
      </c>
      <c r="K237" s="19">
        <f t="shared" si="72"/>
        <v>3.0881569202870964E-2</v>
      </c>
      <c r="L237" s="19" t="e">
        <f t="shared" si="72"/>
        <v>#DIV/0!</v>
      </c>
      <c r="M237" s="19" t="e">
        <f t="shared" si="72"/>
        <v>#DIV/0!</v>
      </c>
      <c r="N237" s="19" t="e">
        <f t="shared" si="72"/>
        <v>#DIV/0!</v>
      </c>
      <c r="O237" s="19" t="e">
        <f t="shared" si="72"/>
        <v>#DIV/0!</v>
      </c>
    </row>
    <row r="238" spans="2:15" x14ac:dyDescent="0.25">
      <c r="B238" s="6" t="s">
        <v>122</v>
      </c>
      <c r="F238" s="17"/>
      <c r="G238" s="19">
        <f t="shared" si="72"/>
        <v>0.43843209187335513</v>
      </c>
      <c r="H238" s="19">
        <f t="shared" si="72"/>
        <v>0.20737924865831842</v>
      </c>
      <c r="I238" s="19">
        <f t="shared" si="72"/>
        <v>-0.39572790396610569</v>
      </c>
      <c r="J238" s="19">
        <f t="shared" si="72"/>
        <v>-1.5082901175955007E-2</v>
      </c>
      <c r="K238" s="19">
        <f t="shared" si="72"/>
        <v>4.6691260442549539E-3</v>
      </c>
      <c r="L238" s="19" t="e">
        <f t="shared" si="72"/>
        <v>#DIV/0!</v>
      </c>
      <c r="M238" s="19" t="e">
        <f t="shared" si="72"/>
        <v>#DIV/0!</v>
      </c>
      <c r="N238" s="19" t="e">
        <f t="shared" si="72"/>
        <v>#DIV/0!</v>
      </c>
      <c r="O238" s="19" t="e">
        <f t="shared" si="72"/>
        <v>#DIV/0!</v>
      </c>
    </row>
    <row r="239" spans="2:15" x14ac:dyDescent="0.25">
      <c r="B239" s="6" t="s">
        <v>123</v>
      </c>
      <c r="F239" s="17"/>
      <c r="G239" s="19">
        <f t="shared" si="72"/>
        <v>0.30413111093388628</v>
      </c>
      <c r="H239" s="19">
        <f t="shared" si="72"/>
        <v>0.49597495527728086</v>
      </c>
      <c r="I239" s="19">
        <f t="shared" si="72"/>
        <v>-0.30198893727197834</v>
      </c>
      <c r="J239" s="19">
        <f t="shared" si="72"/>
        <v>8.35910046340256E-4</v>
      </c>
      <c r="K239" s="19">
        <f t="shared" si="72"/>
        <v>3.5852465030003944E-4</v>
      </c>
      <c r="L239" s="19" t="e">
        <f t="shared" si="72"/>
        <v>#DIV/0!</v>
      </c>
      <c r="M239" s="19" t="e">
        <f t="shared" si="72"/>
        <v>#DIV/0!</v>
      </c>
      <c r="N239" s="19" t="e">
        <f t="shared" si="72"/>
        <v>#DIV/0!</v>
      </c>
      <c r="O239" s="19" t="e">
        <f t="shared" si="72"/>
        <v>#DIV/0!</v>
      </c>
    </row>
    <row r="242" spans="1:16" ht="26.25" x14ac:dyDescent="0.4">
      <c r="A242" s="2" t="s">
        <v>136</v>
      </c>
      <c r="B242" s="1" t="s">
        <v>134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</row>
    <row r="244" spans="1:16" ht="16.5" thickBot="1" x14ac:dyDescent="0.3">
      <c r="F244" s="24">
        <v>2021</v>
      </c>
      <c r="G244" s="24">
        <f>F244+1</f>
        <v>2022</v>
      </c>
      <c r="H244" s="24">
        <f t="shared" ref="H244:J244" si="73">G244+1</f>
        <v>2023</v>
      </c>
      <c r="I244" s="24">
        <f t="shared" si="73"/>
        <v>2024</v>
      </c>
      <c r="J244" s="24">
        <f t="shared" si="73"/>
        <v>2025</v>
      </c>
      <c r="K244" s="25">
        <v>2026</v>
      </c>
      <c r="L244" s="25">
        <f>K244+1</f>
        <v>2027</v>
      </c>
      <c r="M244" s="25">
        <f t="shared" ref="M244:O244" si="74">L244+1</f>
        <v>2028</v>
      </c>
      <c r="N244" s="25">
        <f t="shared" si="74"/>
        <v>2029</v>
      </c>
      <c r="O244" s="25">
        <f t="shared" si="74"/>
        <v>2030</v>
      </c>
    </row>
    <row r="246" spans="1:16" x14ac:dyDescent="0.25">
      <c r="B246" s="2" t="s">
        <v>112</v>
      </c>
      <c r="F246" s="7">
        <f>F10</f>
        <v>456255</v>
      </c>
      <c r="G246" s="7">
        <f t="shared" ref="G246:O246" si="75">G10</f>
        <v>481333</v>
      </c>
      <c r="H246" s="7">
        <f t="shared" si="75"/>
        <v>458973</v>
      </c>
      <c r="I246" s="7">
        <f t="shared" si="75"/>
        <v>475967</v>
      </c>
      <c r="J246" s="7">
        <f t="shared" si="75"/>
        <v>722405</v>
      </c>
      <c r="K246" s="7">
        <f t="shared" si="75"/>
        <v>0</v>
      </c>
      <c r="L246" s="7">
        <f t="shared" si="75"/>
        <v>0</v>
      </c>
      <c r="M246" s="7">
        <f t="shared" si="75"/>
        <v>0</v>
      </c>
      <c r="N246" s="7">
        <f t="shared" si="75"/>
        <v>0</v>
      </c>
      <c r="O246" s="7">
        <f t="shared" si="75"/>
        <v>0</v>
      </c>
    </row>
    <row r="247" spans="1:16" ht="16.5" thickBot="1" x14ac:dyDescent="0.3">
      <c r="B247" s="2" t="s">
        <v>139</v>
      </c>
      <c r="F247" s="34">
        <f t="shared" ref="F247:O248" si="76">F11</f>
        <v>-414984</v>
      </c>
      <c r="G247" s="34">
        <f t="shared" si="76"/>
        <v>-392770</v>
      </c>
      <c r="H247" s="34">
        <f t="shared" si="76"/>
        <v>-353109</v>
      </c>
      <c r="I247" s="34">
        <f t="shared" si="76"/>
        <v>-335430</v>
      </c>
      <c r="J247" s="34">
        <f t="shared" si="76"/>
        <v>-537506</v>
      </c>
      <c r="K247" s="34">
        <f t="shared" si="76"/>
        <v>0</v>
      </c>
      <c r="L247" s="34">
        <f t="shared" si="76"/>
        <v>0</v>
      </c>
      <c r="M247" s="34">
        <f t="shared" si="76"/>
        <v>0</v>
      </c>
      <c r="N247" s="34">
        <f t="shared" si="76"/>
        <v>0</v>
      </c>
      <c r="O247" s="34">
        <f t="shared" si="76"/>
        <v>0</v>
      </c>
    </row>
    <row r="248" spans="1:16" x14ac:dyDescent="0.25">
      <c r="B248" s="10" t="s">
        <v>3</v>
      </c>
      <c r="F248" s="35">
        <f t="shared" si="76"/>
        <v>41271</v>
      </c>
      <c r="G248" s="35">
        <f t="shared" si="76"/>
        <v>88563</v>
      </c>
      <c r="H248" s="35">
        <f t="shared" si="76"/>
        <v>105864</v>
      </c>
      <c r="I248" s="35">
        <f t="shared" si="76"/>
        <v>140537</v>
      </c>
      <c r="J248" s="35">
        <f t="shared" si="76"/>
        <v>184899</v>
      </c>
      <c r="K248" s="35">
        <f t="shared" si="76"/>
        <v>0</v>
      </c>
      <c r="L248" s="35">
        <f t="shared" si="76"/>
        <v>0</v>
      </c>
      <c r="M248" s="35">
        <f t="shared" si="76"/>
        <v>0</v>
      </c>
      <c r="N248" s="35">
        <f t="shared" si="76"/>
        <v>0</v>
      </c>
      <c r="O248" s="35">
        <f t="shared" si="76"/>
        <v>0</v>
      </c>
    </row>
    <row r="249" spans="1:16" x14ac:dyDescent="0.25">
      <c r="B249" s="10" t="s">
        <v>137</v>
      </c>
      <c r="F249" s="33">
        <f>F248/F246</f>
        <v>9.0455995002794484E-2</v>
      </c>
      <c r="G249" s="33">
        <f t="shared" ref="G249:O249" si="77">G248/G246</f>
        <v>0.1839952797751245</v>
      </c>
      <c r="H249" s="33">
        <f t="shared" si="77"/>
        <v>0.23065409076350896</v>
      </c>
      <c r="I249" s="33">
        <f t="shared" si="77"/>
        <v>0.29526626845978821</v>
      </c>
      <c r="J249" s="33">
        <f t="shared" si="77"/>
        <v>0.25594922515763319</v>
      </c>
      <c r="K249" s="33" t="e">
        <f t="shared" si="77"/>
        <v>#DIV/0!</v>
      </c>
      <c r="L249" s="33" t="e">
        <f t="shared" si="77"/>
        <v>#DIV/0!</v>
      </c>
      <c r="M249" s="33" t="e">
        <f t="shared" si="77"/>
        <v>#DIV/0!</v>
      </c>
      <c r="N249" s="33" t="e">
        <f t="shared" si="77"/>
        <v>#DIV/0!</v>
      </c>
      <c r="O249" s="33" t="e">
        <f t="shared" si="77"/>
        <v>#DIV/0!</v>
      </c>
    </row>
    <row r="251" spans="1:16" ht="16.5" thickBot="1" x14ac:dyDescent="0.3">
      <c r="B251" s="2" t="s">
        <v>140</v>
      </c>
      <c r="F251" s="7">
        <f>F18</f>
        <v>-82841</v>
      </c>
      <c r="G251" s="7">
        <f t="shared" ref="G251:O251" si="78">G18</f>
        <v>-63961</v>
      </c>
      <c r="H251" s="7">
        <f t="shared" si="78"/>
        <v>-61589</v>
      </c>
      <c r="I251" s="7">
        <f t="shared" si="78"/>
        <v>-58893</v>
      </c>
      <c r="J251" s="7">
        <f t="shared" si="78"/>
        <v>-75185</v>
      </c>
      <c r="K251" s="7">
        <f t="shared" si="78"/>
        <v>0</v>
      </c>
      <c r="L251" s="7">
        <f t="shared" si="78"/>
        <v>0</v>
      </c>
      <c r="M251" s="7">
        <f t="shared" si="78"/>
        <v>0</v>
      </c>
      <c r="N251" s="7">
        <f t="shared" si="78"/>
        <v>0</v>
      </c>
      <c r="O251" s="7">
        <f t="shared" si="78"/>
        <v>0</v>
      </c>
    </row>
    <row r="252" spans="1:16" x14ac:dyDescent="0.25">
      <c r="B252" s="10" t="s">
        <v>9</v>
      </c>
      <c r="F252" s="35">
        <f>F20</f>
        <v>-41570</v>
      </c>
      <c r="G252" s="35">
        <f t="shared" ref="G252:O252" si="79">G20</f>
        <v>24602</v>
      </c>
      <c r="H252" s="35">
        <f t="shared" si="79"/>
        <v>44275</v>
      </c>
      <c r="I252" s="35">
        <f t="shared" si="79"/>
        <v>81644</v>
      </c>
      <c r="J252" s="35">
        <f t="shared" si="79"/>
        <v>109714</v>
      </c>
      <c r="K252" s="35">
        <f t="shared" si="79"/>
        <v>0</v>
      </c>
      <c r="L252" s="35">
        <f t="shared" si="79"/>
        <v>0</v>
      </c>
      <c r="M252" s="35">
        <f t="shared" si="79"/>
        <v>0</v>
      </c>
      <c r="N252" s="35">
        <f t="shared" si="79"/>
        <v>0</v>
      </c>
      <c r="O252" s="35">
        <f t="shared" si="79"/>
        <v>0</v>
      </c>
    </row>
    <row r="253" spans="1:16" x14ac:dyDescent="0.25">
      <c r="B253" s="10" t="s">
        <v>138</v>
      </c>
      <c r="F253" s="33">
        <f>F252/F246</f>
        <v>-9.1111330286791373E-2</v>
      </c>
      <c r="G253" s="33">
        <f t="shared" ref="G253:O253" si="80">G252/G246</f>
        <v>5.1112223761927811E-2</v>
      </c>
      <c r="H253" s="33">
        <f t="shared" si="80"/>
        <v>9.6465369422602198E-2</v>
      </c>
      <c r="I253" s="33">
        <f t="shared" si="80"/>
        <v>0.17153290039015309</v>
      </c>
      <c r="J253" s="33">
        <f t="shared" si="80"/>
        <v>0.15187325669119123</v>
      </c>
      <c r="K253" s="33" t="e">
        <f t="shared" si="80"/>
        <v>#DIV/0!</v>
      </c>
      <c r="L253" s="33" t="e">
        <f t="shared" si="80"/>
        <v>#DIV/0!</v>
      </c>
      <c r="M253" s="33" t="e">
        <f t="shared" si="80"/>
        <v>#DIV/0!</v>
      </c>
      <c r="N253" s="33" t="e">
        <f t="shared" si="80"/>
        <v>#DIV/0!</v>
      </c>
      <c r="O253" s="33" t="e">
        <f t="shared" si="80"/>
        <v>#DIV/0!</v>
      </c>
    </row>
    <row r="255" spans="1:16" ht="16.5" thickBot="1" x14ac:dyDescent="0.3">
      <c r="B255" s="2" t="s">
        <v>141</v>
      </c>
      <c r="F255" s="7">
        <f>F22+F23</f>
        <v>7406</v>
      </c>
      <c r="G255" s="7">
        <f t="shared" ref="G255:O255" si="81">G22+G23</f>
        <v>6690</v>
      </c>
      <c r="H255" s="7">
        <f t="shared" si="81"/>
        <v>5600</v>
      </c>
      <c r="I255" s="7">
        <f t="shared" si="81"/>
        <v>5199</v>
      </c>
      <c r="J255" s="7">
        <f t="shared" si="81"/>
        <v>5388</v>
      </c>
      <c r="K255" s="7">
        <f t="shared" si="81"/>
        <v>0</v>
      </c>
      <c r="L255" s="7">
        <f t="shared" si="81"/>
        <v>0</v>
      </c>
      <c r="M255" s="7">
        <f t="shared" si="81"/>
        <v>0</v>
      </c>
      <c r="N255" s="7">
        <f t="shared" si="81"/>
        <v>0</v>
      </c>
      <c r="O255" s="7">
        <f t="shared" si="81"/>
        <v>0</v>
      </c>
    </row>
    <row r="256" spans="1:16" x14ac:dyDescent="0.25">
      <c r="B256" s="10" t="s">
        <v>10</v>
      </c>
      <c r="F256" s="35">
        <f>F24</f>
        <v>-34164</v>
      </c>
      <c r="G256" s="35">
        <f t="shared" ref="G256:O256" si="82">G24</f>
        <v>31292</v>
      </c>
      <c r="H256" s="35">
        <f t="shared" si="82"/>
        <v>49875</v>
      </c>
      <c r="I256" s="35">
        <f t="shared" si="82"/>
        <v>86843</v>
      </c>
      <c r="J256" s="35">
        <f t="shared" si="82"/>
        <v>115102</v>
      </c>
      <c r="K256" s="35">
        <f t="shared" si="82"/>
        <v>0</v>
      </c>
      <c r="L256" s="35">
        <f t="shared" si="82"/>
        <v>0</v>
      </c>
      <c r="M256" s="35">
        <f t="shared" si="82"/>
        <v>0</v>
      </c>
      <c r="N256" s="35">
        <f t="shared" si="82"/>
        <v>0</v>
      </c>
      <c r="O256" s="35">
        <f t="shared" si="82"/>
        <v>0</v>
      </c>
    </row>
    <row r="257" spans="2:16" x14ac:dyDescent="0.25">
      <c r="B257" s="10" t="s">
        <v>142</v>
      </c>
      <c r="F257" s="33">
        <f>F256/F246</f>
        <v>-7.4879179406253077E-2</v>
      </c>
      <c r="G257" s="33">
        <f t="shared" ref="G257:O257" si="83">G256/G246</f>
        <v>6.501112535396493E-2</v>
      </c>
      <c r="H257" s="33">
        <f t="shared" si="83"/>
        <v>0.10866652286735821</v>
      </c>
      <c r="I257" s="33">
        <f t="shared" si="83"/>
        <v>0.18245592656633758</v>
      </c>
      <c r="J257" s="33">
        <f t="shared" si="83"/>
        <v>0.1593316768294793</v>
      </c>
      <c r="K257" s="33" t="e">
        <f t="shared" si="83"/>
        <v>#DIV/0!</v>
      </c>
      <c r="L257" s="33" t="e">
        <f t="shared" si="83"/>
        <v>#DIV/0!</v>
      </c>
      <c r="M257" s="33" t="e">
        <f t="shared" si="83"/>
        <v>#DIV/0!</v>
      </c>
      <c r="N257" s="33" t="e">
        <f t="shared" si="83"/>
        <v>#DIV/0!</v>
      </c>
      <c r="O257" s="33" t="e">
        <f t="shared" si="83"/>
        <v>#DIV/0!</v>
      </c>
    </row>
    <row r="258" spans="2:16" x14ac:dyDescent="0.25">
      <c r="B258" s="10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 spans="2:16" x14ac:dyDescent="0.25">
      <c r="B259" s="10" t="s">
        <v>18</v>
      </c>
      <c r="F259" s="11">
        <f>F32</f>
        <v>-48878</v>
      </c>
      <c r="G259" s="11">
        <f t="shared" ref="G259:O259" si="84">G32</f>
        <v>11574</v>
      </c>
      <c r="H259" s="11">
        <f t="shared" si="84"/>
        <v>27206</v>
      </c>
      <c r="I259" s="11">
        <f t="shared" si="84"/>
        <v>70201</v>
      </c>
      <c r="J259" s="11">
        <f t="shared" si="84"/>
        <v>103364</v>
      </c>
      <c r="K259" s="11">
        <f t="shared" si="84"/>
        <v>0</v>
      </c>
      <c r="L259" s="11">
        <f t="shared" si="84"/>
        <v>0</v>
      </c>
      <c r="M259" s="11">
        <f t="shared" si="84"/>
        <v>0</v>
      </c>
      <c r="N259" s="11">
        <f t="shared" si="84"/>
        <v>0</v>
      </c>
      <c r="O259" s="11">
        <f t="shared" si="84"/>
        <v>0</v>
      </c>
    </row>
    <row r="260" spans="2:16" x14ac:dyDescent="0.25">
      <c r="B260" s="10" t="s">
        <v>145</v>
      </c>
      <c r="F260" s="32">
        <f>F259/F246</f>
        <v>-0.10712868900066849</v>
      </c>
      <c r="G260" s="32">
        <f t="shared" ref="G260:O260" si="85">G259/G246</f>
        <v>2.4045723023353893E-2</v>
      </c>
      <c r="H260" s="32">
        <f t="shared" si="85"/>
        <v>5.9275817967505716E-2</v>
      </c>
      <c r="I260" s="32">
        <f t="shared" si="85"/>
        <v>0.14749131767538506</v>
      </c>
      <c r="J260" s="32">
        <f t="shared" si="85"/>
        <v>0.14308317356607445</v>
      </c>
      <c r="K260" s="32" t="e">
        <f t="shared" si="85"/>
        <v>#DIV/0!</v>
      </c>
      <c r="L260" s="32" t="e">
        <f t="shared" si="85"/>
        <v>#DIV/0!</v>
      </c>
      <c r="M260" s="32" t="e">
        <f t="shared" si="85"/>
        <v>#DIV/0!</v>
      </c>
      <c r="N260" s="32" t="e">
        <f t="shared" si="85"/>
        <v>#DIV/0!</v>
      </c>
      <c r="O260" s="32" t="e">
        <f t="shared" si="85"/>
        <v>#DIV/0!</v>
      </c>
    </row>
    <row r="261" spans="2:16" x14ac:dyDescent="0.25">
      <c r="B261" s="10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2:16" x14ac:dyDescent="0.25">
      <c r="B262" s="10" t="s">
        <v>21</v>
      </c>
      <c r="F262" s="11">
        <f>F35</f>
        <v>-48472</v>
      </c>
      <c r="G262" s="11">
        <f t="shared" ref="G262:O262" si="86">G35</f>
        <v>11270</v>
      </c>
      <c r="H262" s="11">
        <f t="shared" si="86"/>
        <v>26306</v>
      </c>
      <c r="I262" s="11">
        <f t="shared" si="86"/>
        <v>69279</v>
      </c>
      <c r="J262" s="11">
        <f t="shared" si="86"/>
        <v>113987</v>
      </c>
      <c r="K262" s="11">
        <f t="shared" si="86"/>
        <v>0</v>
      </c>
      <c r="L262" s="11">
        <f t="shared" si="86"/>
        <v>0</v>
      </c>
      <c r="M262" s="11">
        <f t="shared" si="86"/>
        <v>0</v>
      </c>
      <c r="N262" s="11">
        <f t="shared" si="86"/>
        <v>0</v>
      </c>
      <c r="O262" s="11">
        <f t="shared" si="86"/>
        <v>0</v>
      </c>
    </row>
    <row r="263" spans="2:16" x14ac:dyDescent="0.25">
      <c r="B263" s="10" t="s">
        <v>146</v>
      </c>
      <c r="F263" s="33">
        <f>F262/F246</f>
        <v>-0.10623883573878642</v>
      </c>
      <c r="G263" s="33">
        <f t="shared" ref="G263:O263" si="87">G262/G246</f>
        <v>2.3414143638603627E-2</v>
      </c>
      <c r="H263" s="33">
        <f t="shared" si="87"/>
        <v>5.7314918306741354E-2</v>
      </c>
      <c r="I263" s="33">
        <f t="shared" si="87"/>
        <v>0.14555420859009133</v>
      </c>
      <c r="J263" s="33">
        <f t="shared" si="87"/>
        <v>0.15778822128861233</v>
      </c>
      <c r="K263" s="33" t="e">
        <f t="shared" si="87"/>
        <v>#DIV/0!</v>
      </c>
      <c r="L263" s="33" t="e">
        <f t="shared" si="87"/>
        <v>#DIV/0!</v>
      </c>
      <c r="M263" s="33" t="e">
        <f t="shared" si="87"/>
        <v>#DIV/0!</v>
      </c>
      <c r="N263" s="33" t="e">
        <f t="shared" si="87"/>
        <v>#DIV/0!</v>
      </c>
      <c r="O263" s="33" t="e">
        <f t="shared" si="87"/>
        <v>#DIV/0!</v>
      </c>
    </row>
    <row r="264" spans="2:16" x14ac:dyDescent="0.25">
      <c r="B264" s="10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6" spans="2:16" x14ac:dyDescent="0.25">
      <c r="B266" s="2" t="s">
        <v>143</v>
      </c>
    </row>
    <row r="267" spans="2:16" x14ac:dyDescent="0.25">
      <c r="B267" s="6" t="s">
        <v>144</v>
      </c>
      <c r="F267" s="21">
        <f>-F27/F246</f>
        <v>1.6015166957074441E-2</v>
      </c>
      <c r="G267" s="21">
        <f t="shared" ref="G267:O267" si="88">-G27/G246</f>
        <v>2.7066500738573918E-2</v>
      </c>
      <c r="H267" s="21">
        <f t="shared" si="88"/>
        <v>3.718955145509649E-2</v>
      </c>
      <c r="I267" s="21">
        <f t="shared" si="88"/>
        <v>2.4041582714768042E-2</v>
      </c>
      <c r="J267" s="21">
        <f t="shared" si="88"/>
        <v>9.2773444259106729E-3</v>
      </c>
      <c r="K267" s="21" t="e">
        <f t="shared" si="88"/>
        <v>#DIV/0!</v>
      </c>
      <c r="L267" s="21" t="e">
        <f t="shared" si="88"/>
        <v>#DIV/0!</v>
      </c>
      <c r="M267" s="21" t="e">
        <f t="shared" si="88"/>
        <v>#DIV/0!</v>
      </c>
      <c r="N267" s="21" t="e">
        <f t="shared" si="88"/>
        <v>#DIV/0!</v>
      </c>
      <c r="O267" s="21" t="e">
        <f t="shared" si="88"/>
        <v>#DIV/0!</v>
      </c>
    </row>
    <row r="268" spans="2:16" x14ac:dyDescent="0.25">
      <c r="B268" s="6" t="s">
        <v>147</v>
      </c>
      <c r="F268" s="21">
        <f>-F15/F246</f>
        <v>4.9172063867793228E-2</v>
      </c>
      <c r="G268" s="21">
        <f t="shared" ref="G268:O268" si="89">-G15/G246</f>
        <v>3.9257644915266565E-2</v>
      </c>
      <c r="H268" s="21">
        <f t="shared" si="89"/>
        <v>4.2392471888324589E-2</v>
      </c>
      <c r="I268" s="21">
        <f t="shared" si="89"/>
        <v>4.2137375070120407E-2</v>
      </c>
      <c r="J268" s="21">
        <f t="shared" si="89"/>
        <v>2.5143790533011259E-2</v>
      </c>
      <c r="K268" s="21" t="e">
        <f t="shared" si="89"/>
        <v>#DIV/0!</v>
      </c>
      <c r="L268" s="21" t="e">
        <f t="shared" si="89"/>
        <v>#DIV/0!</v>
      </c>
      <c r="M268" s="21" t="e">
        <f t="shared" si="89"/>
        <v>#DIV/0!</v>
      </c>
      <c r="N268" s="21" t="e">
        <f t="shared" si="89"/>
        <v>#DIV/0!</v>
      </c>
      <c r="O268" s="21" t="e">
        <f t="shared" si="89"/>
        <v>#DIV/0!</v>
      </c>
    </row>
    <row r="269" spans="2:16" x14ac:dyDescent="0.25">
      <c r="B269" s="6" t="s">
        <v>6</v>
      </c>
      <c r="F269" s="21">
        <f>-F16/F246</f>
        <v>0.12683915792703643</v>
      </c>
      <c r="G269" s="21">
        <f t="shared" ref="G269:O269" si="90">-G16/G246</f>
        <v>8.9212665659740759E-2</v>
      </c>
      <c r="H269" s="21">
        <f t="shared" si="90"/>
        <v>8.7992104110699326E-2</v>
      </c>
      <c r="I269" s="21">
        <f t="shared" si="90"/>
        <v>7.8530654436126876E-2</v>
      </c>
      <c r="J269" s="21">
        <f t="shared" si="90"/>
        <v>7.7246143091479161E-2</v>
      </c>
      <c r="K269" s="21" t="e">
        <f t="shared" si="90"/>
        <v>#DIV/0!</v>
      </c>
      <c r="L269" s="21" t="e">
        <f t="shared" si="90"/>
        <v>#DIV/0!</v>
      </c>
      <c r="M269" s="21" t="e">
        <f t="shared" si="90"/>
        <v>#DIV/0!</v>
      </c>
      <c r="N269" s="21" t="e">
        <f t="shared" si="90"/>
        <v>#DIV/0!</v>
      </c>
      <c r="O269" s="21" t="e">
        <f t="shared" si="90"/>
        <v>#DIV/0!</v>
      </c>
    </row>
    <row r="272" spans="2:16" ht="26.25" x14ac:dyDescent="0.4">
      <c r="B272" s="1" t="s">
        <v>148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</row>
  </sheetData>
  <conditionalFormatting sqref="G191:J193">
    <cfRule type="cellIs" dxfId="15" priority="7" operator="lessThan">
      <formula>0</formula>
    </cfRule>
    <cfRule type="cellIs" dxfId="14" priority="8" operator="greaterThan">
      <formula>0</formula>
    </cfRule>
  </conditionalFormatting>
  <conditionalFormatting sqref="G227:J231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G197:O199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G235:O23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7D56-6CC5-4630-9FF5-30AE77C3CDFF}">
  <dimension ref="B2:P80"/>
  <sheetViews>
    <sheetView showGridLines="0" workbookViewId="0">
      <selection activeCell="B2" sqref="B2:P5"/>
    </sheetView>
  </sheetViews>
  <sheetFormatPr defaultRowHeight="15.75" x14ac:dyDescent="0.25"/>
  <cols>
    <col min="1" max="1" width="9.140625" style="2"/>
    <col min="2" max="2" width="16.42578125" style="2" customWidth="1"/>
    <col min="3" max="3" width="27.42578125" style="2" customWidth="1"/>
    <col min="4" max="4" width="24.5703125" style="2" customWidth="1"/>
    <col min="5" max="5" width="9.140625" style="2"/>
    <col min="6" max="15" width="12.7109375" style="2" customWidth="1"/>
    <col min="16" max="16384" width="9.140625" style="2"/>
  </cols>
  <sheetData>
    <row r="2" spans="2:16" ht="26.25" x14ac:dyDescent="0.4">
      <c r="B2" s="1" t="s">
        <v>117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5" spans="2:16" ht="26.25" x14ac:dyDescent="0.4">
      <c r="B5" s="1" t="s">
        <v>112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2:16" ht="16.5" thickBot="1" x14ac:dyDescent="0.3">
      <c r="F7" s="24">
        <v>2021</v>
      </c>
      <c r="G7" s="24">
        <f>F7+1</f>
        <v>2022</v>
      </c>
      <c r="H7" s="24">
        <f t="shared" ref="H7:J7" si="0">G7+1</f>
        <v>2023</v>
      </c>
      <c r="I7" s="24">
        <f t="shared" si="0"/>
        <v>2024</v>
      </c>
      <c r="J7" s="24">
        <f t="shared" si="0"/>
        <v>2025</v>
      </c>
      <c r="K7" s="25">
        <v>2026</v>
      </c>
      <c r="L7" s="25">
        <f>K7+1</f>
        <v>2027</v>
      </c>
      <c r="M7" s="25">
        <f t="shared" ref="M7:O7" si="1">L7+1</f>
        <v>2028</v>
      </c>
      <c r="N7" s="25">
        <f t="shared" si="1"/>
        <v>2029</v>
      </c>
      <c r="O7" s="25">
        <f t="shared" si="1"/>
        <v>2030</v>
      </c>
    </row>
    <row r="8" spans="2:16" x14ac:dyDescent="0.25">
      <c r="F8" s="3"/>
      <c r="G8" s="3"/>
      <c r="H8" s="3"/>
      <c r="I8" s="3"/>
      <c r="J8" s="3"/>
      <c r="K8" s="4"/>
      <c r="L8" s="4"/>
      <c r="M8" s="4"/>
      <c r="N8" s="4"/>
      <c r="O8" s="4"/>
    </row>
    <row r="9" spans="2:16" x14ac:dyDescent="0.25">
      <c r="B9" s="10" t="s">
        <v>118</v>
      </c>
      <c r="F9" s="3"/>
      <c r="G9" s="3"/>
      <c r="H9" s="3"/>
      <c r="I9" s="3"/>
      <c r="J9" s="3"/>
      <c r="K9" s="4"/>
      <c r="L9" s="4"/>
      <c r="M9" s="4"/>
      <c r="N9" s="4"/>
      <c r="O9" s="4"/>
    </row>
    <row r="10" spans="2:16" x14ac:dyDescent="0.25">
      <c r="B10" s="6" t="s">
        <v>113</v>
      </c>
      <c r="F10" s="8">
        <v>123132</v>
      </c>
      <c r="G10" s="8">
        <v>179491</v>
      </c>
      <c r="H10" s="8">
        <v>225106</v>
      </c>
      <c r="I10" s="8">
        <v>325749</v>
      </c>
      <c r="J10" s="8">
        <v>586347</v>
      </c>
      <c r="K10" s="8"/>
      <c r="L10" s="8"/>
      <c r="M10" s="8"/>
      <c r="N10" s="8"/>
      <c r="O10" s="8"/>
    </row>
    <row r="11" spans="2:16" x14ac:dyDescent="0.25">
      <c r="B11" s="6" t="s">
        <v>114</v>
      </c>
      <c r="F11" s="8">
        <v>153289</v>
      </c>
      <c r="G11" s="8">
        <v>224669</v>
      </c>
      <c r="H11" s="8">
        <v>160334</v>
      </c>
      <c r="I11" s="8">
        <v>123268</v>
      </c>
      <c r="J11" s="8">
        <v>114768</v>
      </c>
      <c r="K11" s="8"/>
      <c r="L11" s="8"/>
      <c r="M11" s="8"/>
      <c r="N11" s="8"/>
      <c r="O11" s="8"/>
    </row>
    <row r="12" spans="2:16" ht="16.5" thickBot="1" x14ac:dyDescent="0.3">
      <c r="B12" s="6" t="s">
        <v>115</v>
      </c>
      <c r="F12" s="9">
        <v>179834</v>
      </c>
      <c r="G12" s="9">
        <v>77173</v>
      </c>
      <c r="H12" s="9">
        <v>73533</v>
      </c>
      <c r="I12" s="9">
        <v>26950</v>
      </c>
      <c r="J12" s="9">
        <v>21290</v>
      </c>
      <c r="K12" s="9"/>
      <c r="L12" s="9"/>
      <c r="M12" s="9"/>
      <c r="N12" s="9"/>
      <c r="O12" s="9"/>
    </row>
    <row r="13" spans="2:16" x14ac:dyDescent="0.25">
      <c r="B13" s="10" t="s">
        <v>116</v>
      </c>
      <c r="F13" s="11">
        <f t="shared" ref="F13:O13" si="2">SUM(F10:F12)</f>
        <v>456255</v>
      </c>
      <c r="G13" s="11">
        <f t="shared" si="2"/>
        <v>481333</v>
      </c>
      <c r="H13" s="11">
        <f t="shared" si="2"/>
        <v>458973</v>
      </c>
      <c r="I13" s="11">
        <f t="shared" si="2"/>
        <v>475967</v>
      </c>
      <c r="J13" s="11">
        <f t="shared" si="2"/>
        <v>722405</v>
      </c>
      <c r="K13" s="11">
        <f t="shared" si="2"/>
        <v>0</v>
      </c>
      <c r="L13" s="11">
        <f t="shared" si="2"/>
        <v>0</v>
      </c>
      <c r="M13" s="11">
        <f t="shared" si="2"/>
        <v>0</v>
      </c>
      <c r="N13" s="11">
        <f t="shared" si="2"/>
        <v>0</v>
      </c>
      <c r="O13" s="11">
        <f t="shared" si="2"/>
        <v>0</v>
      </c>
    </row>
    <row r="14" spans="2:16" x14ac:dyDescent="0.25">
      <c r="B14" s="2" t="s">
        <v>129</v>
      </c>
      <c r="F14" s="11"/>
      <c r="G14" s="21">
        <f>(G13-F13)/F13</f>
        <v>5.496487709723729E-2</v>
      </c>
      <c r="H14" s="21">
        <f t="shared" ref="H14:O14" si="3">(H13-G13)/G13</f>
        <v>-4.6454325799394597E-2</v>
      </c>
      <c r="I14" s="21">
        <f t="shared" si="3"/>
        <v>3.7026143150032789E-2</v>
      </c>
      <c r="J14" s="21">
        <f t="shared" si="3"/>
        <v>0.51776278607550519</v>
      </c>
      <c r="K14" s="21">
        <f t="shared" si="3"/>
        <v>-1</v>
      </c>
      <c r="L14" s="21" t="e">
        <f t="shared" si="3"/>
        <v>#DIV/0!</v>
      </c>
      <c r="M14" s="21" t="e">
        <f t="shared" si="3"/>
        <v>#DIV/0!</v>
      </c>
      <c r="N14" s="21" t="e">
        <f t="shared" si="3"/>
        <v>#DIV/0!</v>
      </c>
      <c r="O14" s="21" t="e">
        <f t="shared" si="3"/>
        <v>#DIV/0!</v>
      </c>
    </row>
    <row r="16" spans="2:16" x14ac:dyDescent="0.25">
      <c r="B16" s="10" t="s">
        <v>125</v>
      </c>
    </row>
    <row r="17" spans="2:15" x14ac:dyDescent="0.25">
      <c r="B17" s="6" t="s">
        <v>113</v>
      </c>
      <c r="F17" s="19">
        <f>F10/F13</f>
        <v>0.26987539862576848</v>
      </c>
      <c r="G17" s="19">
        <f t="shared" ref="G17:O17" si="4">G10/G13</f>
        <v>0.37290399785595418</v>
      </c>
      <c r="H17" s="19">
        <f t="shared" si="4"/>
        <v>0.49045586559557969</v>
      </c>
      <c r="I17" s="19">
        <f t="shared" si="4"/>
        <v>0.68439408614462771</v>
      </c>
      <c r="J17" s="19">
        <f t="shared" si="4"/>
        <v>0.81165966459257621</v>
      </c>
      <c r="K17" s="19" t="e">
        <f t="shared" si="4"/>
        <v>#DIV/0!</v>
      </c>
      <c r="L17" s="19" t="e">
        <f t="shared" si="4"/>
        <v>#DIV/0!</v>
      </c>
      <c r="M17" s="19" t="e">
        <f t="shared" si="4"/>
        <v>#DIV/0!</v>
      </c>
      <c r="N17" s="19" t="e">
        <f t="shared" si="4"/>
        <v>#DIV/0!</v>
      </c>
      <c r="O17" s="19" t="e">
        <f t="shared" si="4"/>
        <v>#DIV/0!</v>
      </c>
    </row>
    <row r="18" spans="2:15" x14ac:dyDescent="0.25">
      <c r="B18" s="6" t="s">
        <v>114</v>
      </c>
      <c r="F18" s="19">
        <f>F11/F13</f>
        <v>0.33597220852374221</v>
      </c>
      <c r="G18" s="19">
        <f t="shared" ref="G18:O18" si="5">G11/G13</f>
        <v>0.46676417365940004</v>
      </c>
      <c r="H18" s="19">
        <f t="shared" si="5"/>
        <v>0.34933209578776964</v>
      </c>
      <c r="I18" s="19">
        <f t="shared" si="5"/>
        <v>0.2589843413513962</v>
      </c>
      <c r="J18" s="19">
        <f t="shared" si="5"/>
        <v>0.15886933229974876</v>
      </c>
      <c r="K18" s="19" t="e">
        <f t="shared" si="5"/>
        <v>#DIV/0!</v>
      </c>
      <c r="L18" s="19" t="e">
        <f t="shared" si="5"/>
        <v>#DIV/0!</v>
      </c>
      <c r="M18" s="19" t="e">
        <f t="shared" si="5"/>
        <v>#DIV/0!</v>
      </c>
      <c r="N18" s="19" t="e">
        <f t="shared" si="5"/>
        <v>#DIV/0!</v>
      </c>
      <c r="O18" s="19" t="e">
        <f t="shared" si="5"/>
        <v>#DIV/0!</v>
      </c>
    </row>
    <row r="19" spans="2:15" x14ac:dyDescent="0.25">
      <c r="B19" s="6" t="s">
        <v>115</v>
      </c>
      <c r="F19" s="20">
        <f>F12/F13</f>
        <v>0.39415239285048931</v>
      </c>
      <c r="G19" s="20">
        <f t="shared" ref="G19:O19" si="6">G12/G13</f>
        <v>0.16033182848464578</v>
      </c>
      <c r="H19" s="20">
        <f t="shared" si="6"/>
        <v>0.16021203861665065</v>
      </c>
      <c r="I19" s="20">
        <f t="shared" si="6"/>
        <v>5.6621572503976113E-2</v>
      </c>
      <c r="J19" s="20">
        <f t="shared" si="6"/>
        <v>2.9471003107675059E-2</v>
      </c>
      <c r="K19" s="20" t="e">
        <f t="shared" si="6"/>
        <v>#DIV/0!</v>
      </c>
      <c r="L19" s="20" t="e">
        <f t="shared" si="6"/>
        <v>#DIV/0!</v>
      </c>
      <c r="M19" s="20" t="e">
        <f t="shared" si="6"/>
        <v>#DIV/0!</v>
      </c>
      <c r="N19" s="20" t="e">
        <f t="shared" si="6"/>
        <v>#DIV/0!</v>
      </c>
      <c r="O19" s="20" t="e">
        <f t="shared" si="6"/>
        <v>#DIV/0!</v>
      </c>
    </row>
    <row r="20" spans="2:15" x14ac:dyDescent="0.25">
      <c r="B20" s="6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15" x14ac:dyDescent="0.25">
      <c r="B21" s="10" t="s">
        <v>127</v>
      </c>
    </row>
    <row r="22" spans="2:15" x14ac:dyDescent="0.25">
      <c r="B22" s="6" t="s">
        <v>113</v>
      </c>
      <c r="F22" s="17"/>
      <c r="G22" s="19">
        <f>(G10-F10)/F10</f>
        <v>0.45771204885813599</v>
      </c>
      <c r="H22" s="19">
        <f t="shared" ref="H22:O22" si="7">(H10-G10)/G10</f>
        <v>0.25413530483422569</v>
      </c>
      <c r="I22" s="19">
        <f t="shared" si="7"/>
        <v>0.44709159240535568</v>
      </c>
      <c r="J22" s="19">
        <f t="shared" si="7"/>
        <v>0.79999631618209111</v>
      </c>
      <c r="K22" s="19">
        <f t="shared" si="7"/>
        <v>-1</v>
      </c>
      <c r="L22" s="19" t="e">
        <f t="shared" si="7"/>
        <v>#DIV/0!</v>
      </c>
      <c r="M22" s="19" t="e">
        <f t="shared" si="7"/>
        <v>#DIV/0!</v>
      </c>
      <c r="N22" s="19" t="e">
        <f t="shared" si="7"/>
        <v>#DIV/0!</v>
      </c>
      <c r="O22" s="19" t="e">
        <f t="shared" si="7"/>
        <v>#DIV/0!</v>
      </c>
    </row>
    <row r="23" spans="2:15" x14ac:dyDescent="0.25">
      <c r="B23" s="6" t="s">
        <v>114</v>
      </c>
      <c r="F23" s="17"/>
      <c r="G23" s="19">
        <f>(G11-F11)/F11</f>
        <v>0.46565637456047076</v>
      </c>
      <c r="H23" s="19">
        <f t="shared" ref="H23:O24" si="8">(H11-G11)/G11</f>
        <v>-0.28635459275645503</v>
      </c>
      <c r="I23" s="19">
        <f t="shared" si="8"/>
        <v>-0.23117991193383811</v>
      </c>
      <c r="J23" s="19">
        <f t="shared" si="8"/>
        <v>-6.8955446669046308E-2</v>
      </c>
      <c r="K23" s="19">
        <f t="shared" si="8"/>
        <v>-1</v>
      </c>
      <c r="L23" s="19" t="e">
        <f t="shared" si="8"/>
        <v>#DIV/0!</v>
      </c>
      <c r="M23" s="19" t="e">
        <f t="shared" si="8"/>
        <v>#DIV/0!</v>
      </c>
      <c r="N23" s="19" t="e">
        <f t="shared" si="8"/>
        <v>#DIV/0!</v>
      </c>
      <c r="O23" s="19" t="e">
        <f t="shared" si="8"/>
        <v>#DIV/0!</v>
      </c>
    </row>
    <row r="24" spans="2:15" x14ac:dyDescent="0.25">
      <c r="B24" s="6" t="s">
        <v>115</v>
      </c>
      <c r="F24" s="18"/>
      <c r="G24" s="19">
        <f>(G12-F12)/F12</f>
        <v>-0.57086535360387913</v>
      </c>
      <c r="H24" s="19">
        <f t="shared" si="8"/>
        <v>-4.7166755212315191E-2</v>
      </c>
      <c r="I24" s="19">
        <f t="shared" si="8"/>
        <v>-0.63349788530319717</v>
      </c>
      <c r="J24" s="19">
        <f t="shared" si="8"/>
        <v>-0.21001855287569574</v>
      </c>
      <c r="K24" s="19">
        <f t="shared" si="8"/>
        <v>-1</v>
      </c>
      <c r="L24" s="19" t="e">
        <f t="shared" si="8"/>
        <v>#DIV/0!</v>
      </c>
      <c r="M24" s="19" t="e">
        <f t="shared" si="8"/>
        <v>#DIV/0!</v>
      </c>
      <c r="N24" s="19" t="e">
        <f t="shared" si="8"/>
        <v>#DIV/0!</v>
      </c>
      <c r="O24" s="19" t="e">
        <f t="shared" si="8"/>
        <v>#DIV/0!</v>
      </c>
    </row>
    <row r="25" spans="2:15" x14ac:dyDescent="0.25">
      <c r="B25" s="6"/>
      <c r="F25" s="18"/>
      <c r="G25" s="19"/>
      <c r="H25" s="19"/>
      <c r="I25" s="19"/>
      <c r="J25" s="19"/>
      <c r="K25" s="19"/>
      <c r="L25" s="19"/>
      <c r="M25" s="19"/>
      <c r="N25" s="19"/>
      <c r="O25" s="19"/>
    </row>
    <row r="26" spans="2:15" x14ac:dyDescent="0.25">
      <c r="B26" s="10" t="s">
        <v>130</v>
      </c>
    </row>
    <row r="27" spans="2:15" x14ac:dyDescent="0.25">
      <c r="B27" s="6" t="s">
        <v>113</v>
      </c>
      <c r="F27" s="17"/>
      <c r="G27" s="22">
        <f>G10-F10</f>
        <v>56359</v>
      </c>
      <c r="H27" s="22">
        <f t="shared" ref="H27:O27" si="9">H10-G10</f>
        <v>45615</v>
      </c>
      <c r="I27" s="22">
        <f t="shared" si="9"/>
        <v>100643</v>
      </c>
      <c r="J27" s="22">
        <f t="shared" si="9"/>
        <v>260598</v>
      </c>
      <c r="K27" s="22">
        <f t="shared" si="9"/>
        <v>-586347</v>
      </c>
      <c r="L27" s="22">
        <f t="shared" si="9"/>
        <v>0</v>
      </c>
      <c r="M27" s="22">
        <f t="shared" si="9"/>
        <v>0</v>
      </c>
      <c r="N27" s="22">
        <f t="shared" si="9"/>
        <v>0</v>
      </c>
      <c r="O27" s="22">
        <f t="shared" si="9"/>
        <v>0</v>
      </c>
    </row>
    <row r="28" spans="2:15" x14ac:dyDescent="0.25">
      <c r="B28" s="6" t="s">
        <v>114</v>
      </c>
      <c r="F28" s="17"/>
      <c r="G28" s="22">
        <f t="shared" ref="G28:O29" si="10">G11-F11</f>
        <v>71380</v>
      </c>
      <c r="H28" s="22">
        <f t="shared" si="10"/>
        <v>-64335</v>
      </c>
      <c r="I28" s="22">
        <f t="shared" si="10"/>
        <v>-37066</v>
      </c>
      <c r="J28" s="22">
        <f t="shared" si="10"/>
        <v>-8500</v>
      </c>
      <c r="K28" s="22">
        <f t="shared" si="10"/>
        <v>-114768</v>
      </c>
      <c r="L28" s="22">
        <f t="shared" si="10"/>
        <v>0</v>
      </c>
      <c r="M28" s="22">
        <f t="shared" si="10"/>
        <v>0</v>
      </c>
      <c r="N28" s="22">
        <f t="shared" si="10"/>
        <v>0</v>
      </c>
      <c r="O28" s="22">
        <f t="shared" si="10"/>
        <v>0</v>
      </c>
    </row>
    <row r="29" spans="2:15" ht="16.5" thickBot="1" x14ac:dyDescent="0.3">
      <c r="B29" s="6" t="s">
        <v>115</v>
      </c>
      <c r="F29" s="18"/>
      <c r="G29" s="22">
        <f t="shared" si="10"/>
        <v>-102661</v>
      </c>
      <c r="H29" s="22">
        <f t="shared" si="10"/>
        <v>-3640</v>
      </c>
      <c r="I29" s="22">
        <f t="shared" si="10"/>
        <v>-46583</v>
      </c>
      <c r="J29" s="22">
        <f t="shared" si="10"/>
        <v>-5660</v>
      </c>
      <c r="K29" s="22">
        <f t="shared" si="10"/>
        <v>-21290</v>
      </c>
      <c r="L29" s="22">
        <f t="shared" si="10"/>
        <v>0</v>
      </c>
      <c r="M29" s="22">
        <f t="shared" si="10"/>
        <v>0</v>
      </c>
      <c r="N29" s="22">
        <f t="shared" si="10"/>
        <v>0</v>
      </c>
      <c r="O29" s="22">
        <f t="shared" si="10"/>
        <v>0</v>
      </c>
    </row>
    <row r="30" spans="2:15" x14ac:dyDescent="0.25">
      <c r="B30" s="23" t="s">
        <v>131</v>
      </c>
      <c r="F30" s="18"/>
      <c r="G30" s="15">
        <f>SUM(G27:G29)</f>
        <v>25078</v>
      </c>
      <c r="H30" s="15">
        <f t="shared" ref="H30:O30" si="11">SUM(H27:H29)</f>
        <v>-22360</v>
      </c>
      <c r="I30" s="15">
        <f t="shared" si="11"/>
        <v>16994</v>
      </c>
      <c r="J30" s="15">
        <f t="shared" si="11"/>
        <v>246438</v>
      </c>
      <c r="K30" s="15">
        <f t="shared" si="11"/>
        <v>-722405</v>
      </c>
      <c r="L30" s="15">
        <f t="shared" si="11"/>
        <v>0</v>
      </c>
      <c r="M30" s="15">
        <f t="shared" si="11"/>
        <v>0</v>
      </c>
      <c r="N30" s="15">
        <f t="shared" si="11"/>
        <v>0</v>
      </c>
      <c r="O30" s="15">
        <f t="shared" si="11"/>
        <v>0</v>
      </c>
    </row>
    <row r="31" spans="2:15" x14ac:dyDescent="0.25">
      <c r="B31" s="6"/>
      <c r="F31" s="18"/>
      <c r="G31" s="19"/>
      <c r="H31" s="19"/>
      <c r="I31" s="19"/>
      <c r="J31" s="19"/>
      <c r="K31" s="19"/>
      <c r="L31" s="19"/>
      <c r="M31" s="19"/>
      <c r="N31" s="19"/>
      <c r="O31" s="19"/>
    </row>
    <row r="32" spans="2:15" x14ac:dyDescent="0.25">
      <c r="B32" s="10" t="s">
        <v>130</v>
      </c>
    </row>
    <row r="33" spans="2:15" x14ac:dyDescent="0.25">
      <c r="B33" s="6" t="s">
        <v>113</v>
      </c>
      <c r="F33" s="17"/>
      <c r="G33" s="19">
        <f>(G10-F10)/(G$13-F$13)</f>
        <v>2.2473482733870322</v>
      </c>
      <c r="H33" s="19">
        <f t="shared" ref="H33:O33" si="12">(H10-G10)/(H$13-G$13)</f>
        <v>-2.0400268336314848</v>
      </c>
      <c r="I33" s="19">
        <f t="shared" si="12"/>
        <v>5.9222666823584795</v>
      </c>
      <c r="J33" s="19">
        <f t="shared" si="12"/>
        <v>1.0574586711464953</v>
      </c>
      <c r="K33" s="19">
        <f t="shared" si="12"/>
        <v>0.81165966459257621</v>
      </c>
      <c r="L33" s="19" t="e">
        <f t="shared" si="12"/>
        <v>#DIV/0!</v>
      </c>
      <c r="M33" s="19" t="e">
        <f t="shared" si="12"/>
        <v>#DIV/0!</v>
      </c>
      <c r="N33" s="19" t="e">
        <f t="shared" si="12"/>
        <v>#DIV/0!</v>
      </c>
      <c r="O33" s="19" t="e">
        <f t="shared" si="12"/>
        <v>#DIV/0!</v>
      </c>
    </row>
    <row r="34" spans="2:15" x14ac:dyDescent="0.25">
      <c r="B34" s="6" t="s">
        <v>114</v>
      </c>
      <c r="F34" s="17"/>
      <c r="G34" s="19">
        <f>(G11-F11)/(G$13-F$13)</f>
        <v>2.8463194832123775</v>
      </c>
      <c r="H34" s="19">
        <f t="shared" ref="H34:O34" si="13">(H11-G11)/(H$13-G$13)</f>
        <v>2.8772361359570664</v>
      </c>
      <c r="I34" s="19">
        <f t="shared" si="13"/>
        <v>-2.1811227492056018</v>
      </c>
      <c r="J34" s="19">
        <f t="shared" si="13"/>
        <v>-3.449143395093289E-2</v>
      </c>
      <c r="K34" s="19">
        <f t="shared" si="13"/>
        <v>0.15886933229974876</v>
      </c>
      <c r="L34" s="19" t="e">
        <f t="shared" si="13"/>
        <v>#DIV/0!</v>
      </c>
      <c r="M34" s="19" t="e">
        <f t="shared" si="13"/>
        <v>#DIV/0!</v>
      </c>
      <c r="N34" s="19" t="e">
        <f t="shared" si="13"/>
        <v>#DIV/0!</v>
      </c>
      <c r="O34" s="19" t="e">
        <f t="shared" si="13"/>
        <v>#DIV/0!</v>
      </c>
    </row>
    <row r="35" spans="2:15" x14ac:dyDescent="0.25">
      <c r="B35" s="6" t="s">
        <v>115</v>
      </c>
      <c r="F35" s="18"/>
      <c r="G35" s="19">
        <f t="shared" ref="G35:O35" si="14">(G12-F12)/(G$13-F$13)</f>
        <v>-4.0936677565994097</v>
      </c>
      <c r="H35" s="19">
        <f t="shared" si="14"/>
        <v>0.16279069767441862</v>
      </c>
      <c r="I35" s="19">
        <f t="shared" si="14"/>
        <v>-2.7411439331528773</v>
      </c>
      <c r="J35" s="19">
        <f t="shared" si="14"/>
        <v>-2.2967237195562373E-2</v>
      </c>
      <c r="K35" s="19">
        <f t="shared" si="14"/>
        <v>2.9471003107675059E-2</v>
      </c>
      <c r="L35" s="19" t="e">
        <f t="shared" si="14"/>
        <v>#DIV/0!</v>
      </c>
      <c r="M35" s="19" t="e">
        <f t="shared" si="14"/>
        <v>#DIV/0!</v>
      </c>
      <c r="N35" s="19" t="e">
        <f t="shared" si="14"/>
        <v>#DIV/0!</v>
      </c>
      <c r="O35" s="19" t="e">
        <f t="shared" si="14"/>
        <v>#DIV/0!</v>
      </c>
    </row>
    <row r="36" spans="2:15" x14ac:dyDescent="0.25">
      <c r="B36" s="6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2:15" x14ac:dyDescent="0.25">
      <c r="B37" s="6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2:15" ht="16.5" thickBot="1" x14ac:dyDescent="0.3">
      <c r="B38" s="6"/>
      <c r="F38" s="24">
        <v>2021</v>
      </c>
      <c r="G38" s="24">
        <f>F38+1</f>
        <v>2022</v>
      </c>
      <c r="H38" s="24">
        <f t="shared" ref="H38" si="15">G38+1</f>
        <v>2023</v>
      </c>
      <c r="I38" s="24">
        <f t="shared" ref="I38" si="16">H38+1</f>
        <v>2024</v>
      </c>
      <c r="J38" s="24">
        <f t="shared" ref="J38" si="17">I38+1</f>
        <v>2025</v>
      </c>
      <c r="K38" s="25">
        <v>2026</v>
      </c>
      <c r="L38" s="25">
        <f>K38+1</f>
        <v>2027</v>
      </c>
      <c r="M38" s="25">
        <f t="shared" ref="M38" si="18">L38+1</f>
        <v>2028</v>
      </c>
      <c r="N38" s="25">
        <f t="shared" ref="N38" si="19">M38+1</f>
        <v>2029</v>
      </c>
      <c r="O38" s="25">
        <f t="shared" ref="O38" si="20">N38+1</f>
        <v>2030</v>
      </c>
    </row>
    <row r="39" spans="2:15" x14ac:dyDescent="0.25">
      <c r="B39" s="6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2:15" x14ac:dyDescent="0.25">
      <c r="B40" s="10" t="s">
        <v>124</v>
      </c>
    </row>
    <row r="41" spans="2:15" x14ac:dyDescent="0.25">
      <c r="B41" s="6" t="s">
        <v>119</v>
      </c>
      <c r="F41" s="8">
        <v>406077</v>
      </c>
      <c r="G41" s="8">
        <v>349488</v>
      </c>
      <c r="H41" s="8">
        <v>378886</v>
      </c>
      <c r="I41" s="8">
        <v>419706</v>
      </c>
      <c r="J41" s="8">
        <v>675194</v>
      </c>
      <c r="K41" s="8"/>
      <c r="L41" s="8"/>
      <c r="M41" s="8"/>
      <c r="N41" s="8"/>
      <c r="O41" s="8"/>
    </row>
    <row r="42" spans="2:15" x14ac:dyDescent="0.25">
      <c r="B42" s="6" t="s">
        <v>120</v>
      </c>
      <c r="F42" s="8">
        <v>8616</v>
      </c>
      <c r="G42" s="8">
        <v>16437</v>
      </c>
      <c r="H42" s="8">
        <v>21265</v>
      </c>
      <c r="I42" s="8">
        <v>24466</v>
      </c>
      <c r="J42" s="8">
        <v>21270</v>
      </c>
      <c r="K42" s="8"/>
      <c r="L42" s="8"/>
      <c r="M42" s="8"/>
      <c r="N42" s="8"/>
      <c r="O42" s="8"/>
    </row>
    <row r="43" spans="2:15" x14ac:dyDescent="0.25">
      <c r="B43" s="6" t="s">
        <v>121</v>
      </c>
      <c r="F43" s="8">
        <v>25457</v>
      </c>
      <c r="G43" s="8">
        <v>80681</v>
      </c>
      <c r="H43" s="8">
        <v>39822</v>
      </c>
      <c r="I43" s="8">
        <v>24652</v>
      </c>
      <c r="J43" s="8">
        <v>22309</v>
      </c>
      <c r="K43" s="8"/>
      <c r="L43" s="8"/>
      <c r="M43" s="8"/>
      <c r="N43" s="8"/>
      <c r="O43" s="8"/>
    </row>
    <row r="44" spans="2:15" x14ac:dyDescent="0.25">
      <c r="B44" s="6" t="s">
        <v>122</v>
      </c>
      <c r="F44" s="8">
        <v>7457</v>
      </c>
      <c r="G44" s="8">
        <v>18452</v>
      </c>
      <c r="H44" s="8">
        <v>13815</v>
      </c>
      <c r="I44" s="8">
        <v>7090</v>
      </c>
      <c r="J44" s="8">
        <v>3373</v>
      </c>
      <c r="K44" s="8"/>
      <c r="L44" s="8"/>
      <c r="M44" s="8"/>
      <c r="N44" s="8"/>
      <c r="O44" s="8"/>
    </row>
    <row r="45" spans="2:15" ht="16.5" thickBot="1" x14ac:dyDescent="0.3">
      <c r="B45" s="6" t="s">
        <v>123</v>
      </c>
      <c r="F45" s="9">
        <v>8648</v>
      </c>
      <c r="G45" s="9">
        <v>16275</v>
      </c>
      <c r="H45" s="9">
        <v>5185</v>
      </c>
      <c r="I45" s="9">
        <v>53</v>
      </c>
      <c r="J45" s="9">
        <v>259</v>
      </c>
      <c r="K45" s="9"/>
      <c r="L45" s="9"/>
      <c r="M45" s="9"/>
      <c r="N45" s="9"/>
      <c r="O45" s="9"/>
    </row>
    <row r="46" spans="2:15" x14ac:dyDescent="0.25">
      <c r="B46" s="10" t="s">
        <v>116</v>
      </c>
      <c r="F46" s="11">
        <f>SUM(F41:F45)</f>
        <v>456255</v>
      </c>
      <c r="G46" s="11">
        <f t="shared" ref="G46:O46" si="21">SUM(G41:G45)</f>
        <v>481333</v>
      </c>
      <c r="H46" s="11">
        <f t="shared" si="21"/>
        <v>458973</v>
      </c>
      <c r="I46" s="11">
        <f t="shared" si="21"/>
        <v>475967</v>
      </c>
      <c r="J46" s="11">
        <f t="shared" si="21"/>
        <v>722405</v>
      </c>
      <c r="K46" s="11">
        <f t="shared" si="21"/>
        <v>0</v>
      </c>
      <c r="L46" s="11">
        <f t="shared" si="21"/>
        <v>0</v>
      </c>
      <c r="M46" s="11">
        <f t="shared" si="21"/>
        <v>0</v>
      </c>
      <c r="N46" s="11">
        <f t="shared" si="21"/>
        <v>0</v>
      </c>
      <c r="O46" s="11">
        <f t="shared" si="21"/>
        <v>0</v>
      </c>
    </row>
    <row r="48" spans="2:15" x14ac:dyDescent="0.25">
      <c r="B48" s="10" t="s">
        <v>126</v>
      </c>
    </row>
    <row r="49" spans="2:15" x14ac:dyDescent="0.25">
      <c r="B49" s="6" t="s">
        <v>119</v>
      </c>
      <c r="F49" s="19">
        <f>F41/F$46</f>
        <v>0.89002202715586676</v>
      </c>
      <c r="G49" s="19">
        <f t="shared" ref="G49:O49" si="22">G41/G$46</f>
        <v>0.72608360532105631</v>
      </c>
      <c r="H49" s="19">
        <f t="shared" si="22"/>
        <v>0.82550825429818309</v>
      </c>
      <c r="I49" s="19">
        <f t="shared" si="22"/>
        <v>0.88179642706322081</v>
      </c>
      <c r="J49" s="19">
        <f t="shared" si="22"/>
        <v>0.93464746229608042</v>
      </c>
      <c r="K49" s="19" t="e">
        <f t="shared" si="22"/>
        <v>#DIV/0!</v>
      </c>
      <c r="L49" s="19" t="e">
        <f t="shared" si="22"/>
        <v>#DIV/0!</v>
      </c>
      <c r="M49" s="19" t="e">
        <f t="shared" si="22"/>
        <v>#DIV/0!</v>
      </c>
      <c r="N49" s="19" t="e">
        <f t="shared" si="22"/>
        <v>#DIV/0!</v>
      </c>
      <c r="O49" s="19" t="e">
        <f t="shared" si="22"/>
        <v>#DIV/0!</v>
      </c>
    </row>
    <row r="50" spans="2:15" x14ac:dyDescent="0.25">
      <c r="B50" s="6" t="s">
        <v>120</v>
      </c>
      <c r="F50" s="19">
        <f>F42/F$46</f>
        <v>1.888417661176316E-2</v>
      </c>
      <c r="G50" s="19">
        <f t="shared" ref="G50:O50" si="23">G42/G$46</f>
        <v>3.414891561559253E-2</v>
      </c>
      <c r="H50" s="19">
        <f t="shared" si="23"/>
        <v>4.6331701429060096E-2</v>
      </c>
      <c r="I50" s="19">
        <f t="shared" si="23"/>
        <v>5.1402723298043775E-2</v>
      </c>
      <c r="J50" s="19">
        <f t="shared" si="23"/>
        <v>2.9443317806493587E-2</v>
      </c>
      <c r="K50" s="19" t="e">
        <f t="shared" si="23"/>
        <v>#DIV/0!</v>
      </c>
      <c r="L50" s="19" t="e">
        <f t="shared" si="23"/>
        <v>#DIV/0!</v>
      </c>
      <c r="M50" s="19" t="e">
        <f t="shared" si="23"/>
        <v>#DIV/0!</v>
      </c>
      <c r="N50" s="19" t="e">
        <f t="shared" si="23"/>
        <v>#DIV/0!</v>
      </c>
      <c r="O50" s="19" t="e">
        <f t="shared" si="23"/>
        <v>#DIV/0!</v>
      </c>
    </row>
    <row r="51" spans="2:15" x14ac:dyDescent="0.25">
      <c r="B51" s="6" t="s">
        <v>121</v>
      </c>
      <c r="F51" s="19">
        <f>F43/F$46</f>
        <v>5.5795552925447391E-2</v>
      </c>
      <c r="G51" s="19">
        <f t="shared" ref="G51:O51" si="24">G43/G$46</f>
        <v>0.16761992217446134</v>
      </c>
      <c r="H51" s="19">
        <f t="shared" si="24"/>
        <v>8.6763273656620329E-2</v>
      </c>
      <c r="I51" s="19">
        <f t="shared" si="24"/>
        <v>5.179350669269088E-2</v>
      </c>
      <c r="J51" s="19">
        <f t="shared" si="24"/>
        <v>3.0881569202870964E-2</v>
      </c>
      <c r="K51" s="19" t="e">
        <f t="shared" si="24"/>
        <v>#DIV/0!</v>
      </c>
      <c r="L51" s="19" t="e">
        <f t="shared" si="24"/>
        <v>#DIV/0!</v>
      </c>
      <c r="M51" s="19" t="e">
        <f t="shared" si="24"/>
        <v>#DIV/0!</v>
      </c>
      <c r="N51" s="19" t="e">
        <f t="shared" si="24"/>
        <v>#DIV/0!</v>
      </c>
      <c r="O51" s="19" t="e">
        <f t="shared" si="24"/>
        <v>#DIV/0!</v>
      </c>
    </row>
    <row r="52" spans="2:15" x14ac:dyDescent="0.25">
      <c r="B52" s="6" t="s">
        <v>122</v>
      </c>
      <c r="F52" s="19">
        <f>F44/F$46</f>
        <v>1.6343930477474219E-2</v>
      </c>
      <c r="G52" s="19">
        <f t="shared" ref="G52:O52" si="25">G44/G$46</f>
        <v>3.8335206603328675E-2</v>
      </c>
      <c r="H52" s="19">
        <f t="shared" si="25"/>
        <v>3.0099809792732905E-2</v>
      </c>
      <c r="I52" s="19">
        <f t="shared" si="25"/>
        <v>1.489599068843008E-2</v>
      </c>
      <c r="J52" s="19">
        <f t="shared" si="25"/>
        <v>4.6691260442549539E-3</v>
      </c>
      <c r="K52" s="19" t="e">
        <f t="shared" si="25"/>
        <v>#DIV/0!</v>
      </c>
      <c r="L52" s="19" t="e">
        <f t="shared" si="25"/>
        <v>#DIV/0!</v>
      </c>
      <c r="M52" s="19" t="e">
        <f t="shared" si="25"/>
        <v>#DIV/0!</v>
      </c>
      <c r="N52" s="19" t="e">
        <f t="shared" si="25"/>
        <v>#DIV/0!</v>
      </c>
      <c r="O52" s="19" t="e">
        <f t="shared" si="25"/>
        <v>#DIV/0!</v>
      </c>
    </row>
    <row r="53" spans="2:15" x14ac:dyDescent="0.25">
      <c r="B53" s="6" t="s">
        <v>123</v>
      </c>
      <c r="F53" s="19">
        <f>F45/F$46</f>
        <v>1.8954312829448445E-2</v>
      </c>
      <c r="G53" s="19">
        <f t="shared" ref="G53:O53" si="26">G45/G$46</f>
        <v>3.3812350285561142E-2</v>
      </c>
      <c r="H53" s="19">
        <f t="shared" si="26"/>
        <v>1.1296960823403555E-2</v>
      </c>
      <c r="I53" s="19">
        <f t="shared" si="26"/>
        <v>1.1135225761449849E-4</v>
      </c>
      <c r="J53" s="19">
        <f t="shared" si="26"/>
        <v>3.5852465030003944E-4</v>
      </c>
      <c r="K53" s="19" t="e">
        <f t="shared" si="26"/>
        <v>#DIV/0!</v>
      </c>
      <c r="L53" s="19" t="e">
        <f t="shared" si="26"/>
        <v>#DIV/0!</v>
      </c>
      <c r="M53" s="19" t="e">
        <f t="shared" si="26"/>
        <v>#DIV/0!</v>
      </c>
      <c r="N53" s="19" t="e">
        <f t="shared" si="26"/>
        <v>#DIV/0!</v>
      </c>
      <c r="O53" s="19" t="e">
        <f t="shared" si="26"/>
        <v>#DIV/0!</v>
      </c>
    </row>
    <row r="55" spans="2:15" x14ac:dyDescent="0.25">
      <c r="B55" s="10" t="s">
        <v>128</v>
      </c>
    </row>
    <row r="56" spans="2:15" x14ac:dyDescent="0.25">
      <c r="B56" s="6" t="s">
        <v>119</v>
      </c>
      <c r="F56" s="17"/>
      <c r="G56" s="19">
        <f>(G41-F41)/F41</f>
        <v>-0.13935534393723359</v>
      </c>
      <c r="H56" s="19">
        <f t="shared" ref="H56:O56" si="27">(H41-G41)/G41</f>
        <v>8.411733736208396E-2</v>
      </c>
      <c r="I56" s="19">
        <f t="shared" si="27"/>
        <v>0.10773689183553892</v>
      </c>
      <c r="J56" s="19">
        <f t="shared" si="27"/>
        <v>0.60873087351622324</v>
      </c>
      <c r="K56" s="19">
        <f t="shared" si="27"/>
        <v>-1</v>
      </c>
      <c r="L56" s="19" t="e">
        <f t="shared" si="27"/>
        <v>#DIV/0!</v>
      </c>
      <c r="M56" s="19" t="e">
        <f t="shared" si="27"/>
        <v>#DIV/0!</v>
      </c>
      <c r="N56" s="19" t="e">
        <f t="shared" si="27"/>
        <v>#DIV/0!</v>
      </c>
      <c r="O56" s="19" t="e">
        <f t="shared" si="27"/>
        <v>#DIV/0!</v>
      </c>
    </row>
    <row r="57" spans="2:15" x14ac:dyDescent="0.25">
      <c r="B57" s="6" t="s">
        <v>120</v>
      </c>
      <c r="F57" s="17"/>
      <c r="G57" s="19">
        <f t="shared" ref="G57:O60" si="28">(G42-F42)/F42</f>
        <v>0.90772980501392753</v>
      </c>
      <c r="H57" s="19">
        <f t="shared" si="28"/>
        <v>0.29372756585751658</v>
      </c>
      <c r="I57" s="19">
        <f t="shared" si="28"/>
        <v>0.1505290383258876</v>
      </c>
      <c r="J57" s="19">
        <f t="shared" si="28"/>
        <v>-0.13063026240497017</v>
      </c>
      <c r="K57" s="19">
        <f t="shared" si="28"/>
        <v>-1</v>
      </c>
      <c r="L57" s="19" t="e">
        <f t="shared" si="28"/>
        <v>#DIV/0!</v>
      </c>
      <c r="M57" s="19" t="e">
        <f t="shared" si="28"/>
        <v>#DIV/0!</v>
      </c>
      <c r="N57" s="19" t="e">
        <f t="shared" si="28"/>
        <v>#DIV/0!</v>
      </c>
      <c r="O57" s="19" t="e">
        <f t="shared" si="28"/>
        <v>#DIV/0!</v>
      </c>
    </row>
    <row r="58" spans="2:15" x14ac:dyDescent="0.25">
      <c r="B58" s="6" t="s">
        <v>121</v>
      </c>
      <c r="F58" s="17"/>
      <c r="G58" s="19">
        <f t="shared" si="28"/>
        <v>2.1693051027222374</v>
      </c>
      <c r="H58" s="19">
        <f t="shared" si="28"/>
        <v>-0.50642654404382692</v>
      </c>
      <c r="I58" s="19">
        <f t="shared" si="28"/>
        <v>-0.38094520616744515</v>
      </c>
      <c r="J58" s="19">
        <f t="shared" si="28"/>
        <v>-9.5042998539672241E-2</v>
      </c>
      <c r="K58" s="19">
        <f t="shared" si="28"/>
        <v>-1</v>
      </c>
      <c r="L58" s="19" t="e">
        <f t="shared" si="28"/>
        <v>#DIV/0!</v>
      </c>
      <c r="M58" s="19" t="e">
        <f t="shared" si="28"/>
        <v>#DIV/0!</v>
      </c>
      <c r="N58" s="19" t="e">
        <f t="shared" si="28"/>
        <v>#DIV/0!</v>
      </c>
      <c r="O58" s="19" t="e">
        <f t="shared" si="28"/>
        <v>#DIV/0!</v>
      </c>
    </row>
    <row r="59" spans="2:15" x14ac:dyDescent="0.25">
      <c r="B59" s="6" t="s">
        <v>122</v>
      </c>
      <c r="F59" s="17"/>
      <c r="G59" s="19">
        <f t="shared" si="28"/>
        <v>1.4744535335925975</v>
      </c>
      <c r="H59" s="19">
        <f t="shared" si="28"/>
        <v>-0.25130067201387385</v>
      </c>
      <c r="I59" s="19">
        <f t="shared" si="28"/>
        <v>-0.48678972131740861</v>
      </c>
      <c r="J59" s="19">
        <f t="shared" si="28"/>
        <v>-0.52425952045133994</v>
      </c>
      <c r="K59" s="19">
        <f t="shared" si="28"/>
        <v>-1</v>
      </c>
      <c r="L59" s="19" t="e">
        <f t="shared" si="28"/>
        <v>#DIV/0!</v>
      </c>
      <c r="M59" s="19" t="e">
        <f t="shared" si="28"/>
        <v>#DIV/0!</v>
      </c>
      <c r="N59" s="19" t="e">
        <f t="shared" si="28"/>
        <v>#DIV/0!</v>
      </c>
      <c r="O59" s="19" t="e">
        <f t="shared" si="28"/>
        <v>#DIV/0!</v>
      </c>
    </row>
    <row r="60" spans="2:15" x14ac:dyDescent="0.25">
      <c r="B60" s="6" t="s">
        <v>123</v>
      </c>
      <c r="F60" s="17"/>
      <c r="G60" s="19">
        <f t="shared" si="28"/>
        <v>0.88193802035152635</v>
      </c>
      <c r="H60" s="19">
        <f t="shared" si="28"/>
        <v>-0.68141321044546854</v>
      </c>
      <c r="I60" s="19">
        <f t="shared" si="28"/>
        <v>-0.98977820636451297</v>
      </c>
      <c r="J60" s="19">
        <f t="shared" si="28"/>
        <v>3.8867924528301887</v>
      </c>
      <c r="K60" s="19">
        <f t="shared" si="28"/>
        <v>-1</v>
      </c>
      <c r="L60" s="19" t="e">
        <f t="shared" si="28"/>
        <v>#DIV/0!</v>
      </c>
      <c r="M60" s="19" t="e">
        <f t="shared" si="28"/>
        <v>#DIV/0!</v>
      </c>
      <c r="N60" s="19" t="e">
        <f t="shared" si="28"/>
        <v>#DIV/0!</v>
      </c>
      <c r="O60" s="19" t="e">
        <f t="shared" si="28"/>
        <v>#DIV/0!</v>
      </c>
    </row>
    <row r="61" spans="2:15" x14ac:dyDescent="0.25">
      <c r="G61" s="21"/>
      <c r="H61" s="21"/>
      <c r="I61" s="21"/>
      <c r="J61" s="21"/>
      <c r="K61" s="21"/>
      <c r="L61" s="21"/>
      <c r="M61" s="21"/>
      <c r="N61" s="21"/>
      <c r="O61" s="21"/>
    </row>
    <row r="62" spans="2:15" x14ac:dyDescent="0.25">
      <c r="B62" s="10" t="s">
        <v>133</v>
      </c>
    </row>
    <row r="63" spans="2:15" x14ac:dyDescent="0.25">
      <c r="B63" s="6" t="s">
        <v>119</v>
      </c>
      <c r="F63" s="17"/>
      <c r="G63" s="22">
        <f>G41-F41</f>
        <v>-56589</v>
      </c>
      <c r="H63" s="22">
        <f t="shared" ref="H63:O63" si="29">H41-G41</f>
        <v>29398</v>
      </c>
      <c r="I63" s="22">
        <f t="shared" si="29"/>
        <v>40820</v>
      </c>
      <c r="J63" s="22">
        <f t="shared" si="29"/>
        <v>255488</v>
      </c>
      <c r="K63" s="22">
        <f t="shared" si="29"/>
        <v>-675194</v>
      </c>
      <c r="L63" s="22">
        <f t="shared" si="29"/>
        <v>0</v>
      </c>
      <c r="M63" s="22">
        <f t="shared" si="29"/>
        <v>0</v>
      </c>
      <c r="N63" s="22">
        <f t="shared" si="29"/>
        <v>0</v>
      </c>
      <c r="O63" s="22">
        <f t="shared" si="29"/>
        <v>0</v>
      </c>
    </row>
    <row r="64" spans="2:15" x14ac:dyDescent="0.25">
      <c r="B64" s="6" t="s">
        <v>120</v>
      </c>
      <c r="F64" s="17"/>
      <c r="G64" s="22">
        <f t="shared" ref="G64:O64" si="30">G42-F42</f>
        <v>7821</v>
      </c>
      <c r="H64" s="22">
        <f t="shared" si="30"/>
        <v>4828</v>
      </c>
      <c r="I64" s="22">
        <f t="shared" si="30"/>
        <v>3201</v>
      </c>
      <c r="J64" s="22">
        <f t="shared" si="30"/>
        <v>-3196</v>
      </c>
      <c r="K64" s="22">
        <f t="shared" si="30"/>
        <v>-21270</v>
      </c>
      <c r="L64" s="22">
        <f t="shared" si="30"/>
        <v>0</v>
      </c>
      <c r="M64" s="22">
        <f t="shared" si="30"/>
        <v>0</v>
      </c>
      <c r="N64" s="22">
        <f t="shared" si="30"/>
        <v>0</v>
      </c>
      <c r="O64" s="22">
        <f t="shared" si="30"/>
        <v>0</v>
      </c>
    </row>
    <row r="65" spans="2:16" x14ac:dyDescent="0.25">
      <c r="B65" s="6" t="s">
        <v>121</v>
      </c>
      <c r="F65" s="17"/>
      <c r="G65" s="22">
        <f t="shared" ref="G65:O65" si="31">G43-F43</f>
        <v>55224</v>
      </c>
      <c r="H65" s="22">
        <f t="shared" si="31"/>
        <v>-40859</v>
      </c>
      <c r="I65" s="22">
        <f t="shared" si="31"/>
        <v>-15170</v>
      </c>
      <c r="J65" s="22">
        <f t="shared" si="31"/>
        <v>-2343</v>
      </c>
      <c r="K65" s="22">
        <f t="shared" si="31"/>
        <v>-22309</v>
      </c>
      <c r="L65" s="22">
        <f t="shared" si="31"/>
        <v>0</v>
      </c>
      <c r="M65" s="22">
        <f t="shared" si="31"/>
        <v>0</v>
      </c>
      <c r="N65" s="22">
        <f t="shared" si="31"/>
        <v>0</v>
      </c>
      <c r="O65" s="22">
        <f t="shared" si="31"/>
        <v>0</v>
      </c>
    </row>
    <row r="66" spans="2:16" x14ac:dyDescent="0.25">
      <c r="B66" s="6" t="s">
        <v>122</v>
      </c>
      <c r="F66" s="17"/>
      <c r="G66" s="22">
        <f t="shared" ref="G66:O66" si="32">G44-F44</f>
        <v>10995</v>
      </c>
      <c r="H66" s="22">
        <f t="shared" si="32"/>
        <v>-4637</v>
      </c>
      <c r="I66" s="22">
        <f t="shared" si="32"/>
        <v>-6725</v>
      </c>
      <c r="J66" s="22">
        <f t="shared" si="32"/>
        <v>-3717</v>
      </c>
      <c r="K66" s="22">
        <f t="shared" si="32"/>
        <v>-3373</v>
      </c>
      <c r="L66" s="22">
        <f t="shared" si="32"/>
        <v>0</v>
      </c>
      <c r="M66" s="22">
        <f t="shared" si="32"/>
        <v>0</v>
      </c>
      <c r="N66" s="22">
        <f t="shared" si="32"/>
        <v>0</v>
      </c>
      <c r="O66" s="22">
        <f t="shared" si="32"/>
        <v>0</v>
      </c>
    </row>
    <row r="67" spans="2:16" ht="16.5" thickBot="1" x14ac:dyDescent="0.3">
      <c r="B67" s="6" t="s">
        <v>123</v>
      </c>
      <c r="F67" s="17"/>
      <c r="G67" s="22">
        <f t="shared" ref="G67:O67" si="33">G45-F45</f>
        <v>7627</v>
      </c>
      <c r="H67" s="22">
        <f t="shared" si="33"/>
        <v>-11090</v>
      </c>
      <c r="I67" s="22">
        <f t="shared" si="33"/>
        <v>-5132</v>
      </c>
      <c r="J67" s="22">
        <f t="shared" si="33"/>
        <v>206</v>
      </c>
      <c r="K67" s="22">
        <f t="shared" si="33"/>
        <v>-259</v>
      </c>
      <c r="L67" s="22">
        <f t="shared" si="33"/>
        <v>0</v>
      </c>
      <c r="M67" s="22">
        <f t="shared" si="33"/>
        <v>0</v>
      </c>
      <c r="N67" s="22">
        <f t="shared" si="33"/>
        <v>0</v>
      </c>
      <c r="O67" s="22">
        <f t="shared" si="33"/>
        <v>0</v>
      </c>
    </row>
    <row r="68" spans="2:16" x14ac:dyDescent="0.25">
      <c r="B68" s="23" t="s">
        <v>132</v>
      </c>
      <c r="F68" s="17"/>
      <c r="G68" s="15">
        <f t="shared" ref="G68:O68" si="34">G46-F46</f>
        <v>25078</v>
      </c>
      <c r="H68" s="15">
        <f t="shared" si="34"/>
        <v>-22360</v>
      </c>
      <c r="I68" s="15">
        <f t="shared" si="34"/>
        <v>16994</v>
      </c>
      <c r="J68" s="15">
        <f t="shared" si="34"/>
        <v>246438</v>
      </c>
      <c r="K68" s="15">
        <f t="shared" si="34"/>
        <v>-722405</v>
      </c>
      <c r="L68" s="15">
        <f t="shared" si="34"/>
        <v>0</v>
      </c>
      <c r="M68" s="15">
        <f t="shared" si="34"/>
        <v>0</v>
      </c>
      <c r="N68" s="15">
        <f t="shared" si="34"/>
        <v>0</v>
      </c>
      <c r="O68" s="15">
        <f t="shared" si="34"/>
        <v>0</v>
      </c>
    </row>
    <row r="70" spans="2:16" x14ac:dyDescent="0.25">
      <c r="B70" s="10" t="s">
        <v>128</v>
      </c>
    </row>
    <row r="71" spans="2:16" x14ac:dyDescent="0.25">
      <c r="B71" s="6" t="s">
        <v>119</v>
      </c>
      <c r="F71" s="17"/>
      <c r="G71" s="19">
        <f>(G41-F41)/(G$46-F$46)</f>
        <v>-2.2565196586649652</v>
      </c>
      <c r="H71" s="19">
        <f t="shared" ref="H71:O71" si="35">(H41-G41)/(H$46-G$46)</f>
        <v>-1.3147584973166369</v>
      </c>
      <c r="I71" s="19">
        <f t="shared" si="35"/>
        <v>2.4020242438507711</v>
      </c>
      <c r="J71" s="19">
        <f t="shared" si="35"/>
        <v>1.0367232326183462</v>
      </c>
      <c r="K71" s="19">
        <f t="shared" si="35"/>
        <v>0.93464746229608042</v>
      </c>
      <c r="L71" s="19" t="e">
        <f t="shared" si="35"/>
        <v>#DIV/0!</v>
      </c>
      <c r="M71" s="19" t="e">
        <f t="shared" si="35"/>
        <v>#DIV/0!</v>
      </c>
      <c r="N71" s="19" t="e">
        <f t="shared" si="35"/>
        <v>#DIV/0!</v>
      </c>
      <c r="O71" s="19" t="e">
        <f t="shared" si="35"/>
        <v>#DIV/0!</v>
      </c>
    </row>
    <row r="72" spans="2:16" x14ac:dyDescent="0.25">
      <c r="B72" s="6" t="s">
        <v>120</v>
      </c>
      <c r="F72" s="17"/>
      <c r="G72" s="19">
        <f>(G42-F42)/(G$46-F$46)</f>
        <v>0.3118669750378818</v>
      </c>
      <c r="H72" s="19">
        <f t="shared" ref="H72:O72" si="36">(H42-G42)/(H$46-G$46)</f>
        <v>-0.21592128801431126</v>
      </c>
      <c r="I72" s="19">
        <f t="shared" si="36"/>
        <v>0.18836059785806755</v>
      </c>
      <c r="J72" s="19">
        <f t="shared" si="36"/>
        <v>-1.2968779165550767E-2</v>
      </c>
      <c r="K72" s="19">
        <f t="shared" si="36"/>
        <v>2.9443317806493587E-2</v>
      </c>
      <c r="L72" s="19" t="e">
        <f t="shared" si="36"/>
        <v>#DIV/0!</v>
      </c>
      <c r="M72" s="19" t="e">
        <f t="shared" si="36"/>
        <v>#DIV/0!</v>
      </c>
      <c r="N72" s="19" t="e">
        <f t="shared" si="36"/>
        <v>#DIV/0!</v>
      </c>
      <c r="O72" s="19" t="e">
        <f t="shared" si="36"/>
        <v>#DIV/0!</v>
      </c>
    </row>
    <row r="73" spans="2:16" x14ac:dyDescent="0.25">
      <c r="B73" s="6" t="s">
        <v>121</v>
      </c>
      <c r="F73" s="17"/>
      <c r="G73" s="19">
        <f t="shared" ref="G73:O73" si="37">(G43-F43)/(G$46-F$46)</f>
        <v>2.2020894808198421</v>
      </c>
      <c r="H73" s="19">
        <f t="shared" si="37"/>
        <v>1.8273255813953488</v>
      </c>
      <c r="I73" s="19">
        <f t="shared" si="37"/>
        <v>-0.89266800047075434</v>
      </c>
      <c r="J73" s="19">
        <f t="shared" si="37"/>
        <v>-9.5074623231806779E-3</v>
      </c>
      <c r="K73" s="19">
        <f t="shared" si="37"/>
        <v>3.0881569202870964E-2</v>
      </c>
      <c r="L73" s="19" t="e">
        <f t="shared" si="37"/>
        <v>#DIV/0!</v>
      </c>
      <c r="M73" s="19" t="e">
        <f t="shared" si="37"/>
        <v>#DIV/0!</v>
      </c>
      <c r="N73" s="19" t="e">
        <f t="shared" si="37"/>
        <v>#DIV/0!</v>
      </c>
      <c r="O73" s="19" t="e">
        <f t="shared" si="37"/>
        <v>#DIV/0!</v>
      </c>
    </row>
    <row r="74" spans="2:16" x14ac:dyDescent="0.25">
      <c r="B74" s="6" t="s">
        <v>122</v>
      </c>
      <c r="F74" s="17"/>
      <c r="G74" s="19">
        <f t="shared" ref="G74:O74" si="38">(G44-F44)/(G$46-F$46)</f>
        <v>0.43843209187335513</v>
      </c>
      <c r="H74" s="19">
        <f t="shared" si="38"/>
        <v>0.20737924865831842</v>
      </c>
      <c r="I74" s="19">
        <f t="shared" si="38"/>
        <v>-0.39572790396610569</v>
      </c>
      <c r="J74" s="19">
        <f t="shared" si="38"/>
        <v>-1.5082901175955007E-2</v>
      </c>
      <c r="K74" s="19">
        <f t="shared" si="38"/>
        <v>4.6691260442549539E-3</v>
      </c>
      <c r="L74" s="19" t="e">
        <f t="shared" si="38"/>
        <v>#DIV/0!</v>
      </c>
      <c r="M74" s="19" t="e">
        <f t="shared" si="38"/>
        <v>#DIV/0!</v>
      </c>
      <c r="N74" s="19" t="e">
        <f t="shared" si="38"/>
        <v>#DIV/0!</v>
      </c>
      <c r="O74" s="19" t="e">
        <f t="shared" si="38"/>
        <v>#DIV/0!</v>
      </c>
    </row>
    <row r="75" spans="2:16" x14ac:dyDescent="0.25">
      <c r="B75" s="6" t="s">
        <v>123</v>
      </c>
      <c r="F75" s="17"/>
      <c r="G75" s="19">
        <f t="shared" ref="G75:O75" si="39">(G45-F45)/(G$46-F$46)</f>
        <v>0.30413111093388628</v>
      </c>
      <c r="H75" s="19">
        <f t="shared" si="39"/>
        <v>0.49597495527728086</v>
      </c>
      <c r="I75" s="19">
        <f t="shared" si="39"/>
        <v>-0.30198893727197834</v>
      </c>
      <c r="J75" s="19">
        <f t="shared" si="39"/>
        <v>8.35910046340256E-4</v>
      </c>
      <c r="K75" s="19">
        <f t="shared" si="39"/>
        <v>3.5852465030003944E-4</v>
      </c>
      <c r="L75" s="19" t="e">
        <f t="shared" si="39"/>
        <v>#DIV/0!</v>
      </c>
      <c r="M75" s="19" t="e">
        <f t="shared" si="39"/>
        <v>#DIV/0!</v>
      </c>
      <c r="N75" s="19" t="e">
        <f t="shared" si="39"/>
        <v>#DIV/0!</v>
      </c>
      <c r="O75" s="19" t="e">
        <f t="shared" si="39"/>
        <v>#DIV/0!</v>
      </c>
    </row>
    <row r="78" spans="2:16" ht="26.25" x14ac:dyDescent="0.4">
      <c r="B78" s="1" t="s">
        <v>134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80" spans="2:16" ht="16.5" thickBot="1" x14ac:dyDescent="0.3">
      <c r="F80" s="24">
        <v>2021</v>
      </c>
      <c r="G80" s="24">
        <f>F80+1</f>
        <v>2022</v>
      </c>
      <c r="H80" s="24">
        <f t="shared" ref="H80" si="40">G80+1</f>
        <v>2023</v>
      </c>
      <c r="I80" s="24">
        <f t="shared" ref="I80" si="41">H80+1</f>
        <v>2024</v>
      </c>
      <c r="J80" s="24">
        <f t="shared" ref="J80" si="42">I80+1</f>
        <v>2025</v>
      </c>
      <c r="K80" s="25">
        <v>2026</v>
      </c>
      <c r="L80" s="25">
        <f>K80+1</f>
        <v>2027</v>
      </c>
      <c r="M80" s="25">
        <f t="shared" ref="M80" si="43">L80+1</f>
        <v>2028</v>
      </c>
      <c r="N80" s="25">
        <f t="shared" ref="N80" si="44">M80+1</f>
        <v>2029</v>
      </c>
      <c r="O80" s="25">
        <f t="shared" ref="O80" si="45">N80+1</f>
        <v>2030</v>
      </c>
    </row>
  </sheetData>
  <conditionalFormatting sqref="G27:J29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G33:J3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63:J6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71:J7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5863-5A42-4BE3-A912-9E1878F37076}">
  <dimension ref="B2:P13"/>
  <sheetViews>
    <sheetView showGridLines="0" tabSelected="1" workbookViewId="0">
      <selection activeCell="I8" sqref="I8"/>
    </sheetView>
  </sheetViews>
  <sheetFormatPr defaultRowHeight="13.5" x14ac:dyDescent="0.25"/>
  <cols>
    <col min="1" max="3" width="9.140625" style="30"/>
    <col min="4" max="4" width="13.5703125" style="30" bestFit="1" customWidth="1"/>
    <col min="5" max="16384" width="9.140625" style="30"/>
  </cols>
  <sheetData>
    <row r="2" spans="2:16" ht="26.25" x14ac:dyDescent="0.4">
      <c r="B2" s="1" t="s">
        <v>117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2:16" ht="15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5.75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6" ht="26.25" x14ac:dyDescent="0.4">
      <c r="B5" s="1" t="s">
        <v>149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2:16" x14ac:dyDescent="0.25">
      <c r="C6" s="31"/>
    </row>
    <row r="7" spans="2:16" x14ac:dyDescent="0.25">
      <c r="C7" s="31"/>
    </row>
    <row r="8" spans="2:16" x14ac:dyDescent="0.25">
      <c r="C8" s="31"/>
      <c r="D8" s="30" t="s">
        <v>156</v>
      </c>
      <c r="E8" s="30" t="s">
        <v>155</v>
      </c>
      <c r="F8" s="30" t="s">
        <v>157</v>
      </c>
    </row>
    <row r="9" spans="2:16" x14ac:dyDescent="0.25">
      <c r="B9" s="30" t="s">
        <v>150</v>
      </c>
      <c r="D9" s="36">
        <v>8</v>
      </c>
      <c r="E9" s="36">
        <v>1.3</v>
      </c>
      <c r="F9" s="38">
        <v>0.31519999999999998</v>
      </c>
    </row>
    <row r="10" spans="2:16" x14ac:dyDescent="0.25">
      <c r="B10" s="30" t="s">
        <v>151</v>
      </c>
      <c r="D10" s="36">
        <v>16.399999999999999</v>
      </c>
      <c r="E10" s="36">
        <v>2.8</v>
      </c>
      <c r="F10" s="37">
        <v>13.47</v>
      </c>
    </row>
    <row r="11" spans="2:16" x14ac:dyDescent="0.25">
      <c r="B11" s="30" t="s">
        <v>152</v>
      </c>
      <c r="D11" s="36">
        <v>30.2</v>
      </c>
      <c r="E11" s="36">
        <v>6.4</v>
      </c>
      <c r="F11" s="37"/>
    </row>
    <row r="12" spans="2:16" x14ac:dyDescent="0.25">
      <c r="B12" s="30" t="s">
        <v>153</v>
      </c>
      <c r="D12" s="36">
        <v>22.9</v>
      </c>
      <c r="E12" s="36">
        <v>5.4</v>
      </c>
      <c r="F12" s="37"/>
    </row>
    <row r="13" spans="2:16" x14ac:dyDescent="0.25">
      <c r="B13" s="30" t="s">
        <v>154</v>
      </c>
      <c r="D13" s="36">
        <v>47.3</v>
      </c>
      <c r="E13" s="36">
        <v>7.2</v>
      </c>
      <c r="F1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Three Statement Model</vt:lpstr>
      <vt:lpstr>Analysis</vt:lpstr>
      <vt:lpstr>Comparables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Passafiume</dc:creator>
  <cp:lastModifiedBy>Conner Passafiume</cp:lastModifiedBy>
  <dcterms:created xsi:type="dcterms:W3CDTF">2026-07-13T19:07:48Z</dcterms:created>
  <dcterms:modified xsi:type="dcterms:W3CDTF">2026-08-04T20:17:45Z</dcterms:modified>
</cp:coreProperties>
</file>